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lambert\ICC\Upgrade_Hardening_FDE\tools_scripts_procedure\Upgrade tools for GCC\MHM_Estimator\"/>
    </mc:Choice>
  </mc:AlternateContent>
  <xr:revisionPtr revIDLastSave="0" documentId="13_ncr:1_{9FF48E65-3C4E-413B-8C99-8EC9B73BD104}" xr6:coauthVersionLast="47" xr6:coauthVersionMax="47" xr10:uidLastSave="{00000000-0000-0000-0000-000000000000}"/>
  <bookViews>
    <workbookView xWindow="61965" yWindow="630" windowWidth="23400" windowHeight="13455" activeTab="2" xr2:uid="{00000000-000D-0000-FFFF-FFFF00000000}"/>
  </bookViews>
  <sheets>
    <sheet name="Orig" sheetId="1" r:id="rId1"/>
    <sheet name="James-Update" sheetId="2" r:id="rId2"/>
    <sheet name="Estimator-trial" sheetId="3" r:id="rId3"/>
    <sheet name="temp_data" sheetId="4" r:id="rId4"/>
  </sheets>
  <definedNames>
    <definedName name="ExternalData_1" localSheetId="3">temp_data!#REF!</definedName>
    <definedName name="ExternalData_10" localSheetId="3">temp_data!$A$1:$S$1</definedName>
    <definedName name="ExternalData_11" localSheetId="3">temp_data!$A$1:$S$1</definedName>
    <definedName name="ExternalData_12" localSheetId="3">temp_data!$A$1:$S$1</definedName>
    <definedName name="ExternalData_13" localSheetId="3">temp_data!$A$1:$S$1</definedName>
    <definedName name="ExternalData_14" localSheetId="3">temp_data!$A$1:$S$1</definedName>
    <definedName name="ExternalData_15" localSheetId="3">temp_data!$A$1:$S$1</definedName>
    <definedName name="ExternalData_16" localSheetId="3">temp_data!$A$1:$S$1</definedName>
    <definedName name="ExternalData_17" localSheetId="3">temp_data!$A$1:$S$1</definedName>
    <definedName name="ExternalData_18" localSheetId="3">temp_data!$A$1:$S$1</definedName>
    <definedName name="ExternalData_19" localSheetId="3">temp_data!$A$1:$S$1</definedName>
    <definedName name="ExternalData_2" localSheetId="3">temp_data!#REF!</definedName>
    <definedName name="ExternalData_20" localSheetId="3">temp_data!$A$1:$S$1</definedName>
    <definedName name="ExternalData_21" localSheetId="3">temp_data!$A$1:$S$1</definedName>
    <definedName name="ExternalData_22" localSheetId="3">temp_data!$A$1:$S$1</definedName>
    <definedName name="ExternalData_23" localSheetId="3">temp_data!$A$1:$S$1</definedName>
    <definedName name="ExternalData_24" localSheetId="3">temp_data!$A$1:$S$1</definedName>
    <definedName name="ExternalData_25" localSheetId="3">temp_data!$A$1:$S$1</definedName>
    <definedName name="ExternalData_3" localSheetId="3">temp_data!#REF!</definedName>
    <definedName name="ExternalData_4" localSheetId="3">temp_data!#REF!</definedName>
    <definedName name="ExternalData_5" localSheetId="3">temp_data!#REF!</definedName>
    <definedName name="ExternalData_6" localSheetId="3">temp_data!#REF!</definedName>
    <definedName name="ExternalData_7" localSheetId="3">temp_data!#REF!</definedName>
    <definedName name="ExternalData_8" localSheetId="3">temp_data!#REF!</definedName>
    <definedName name="ExternalData_9" localSheetId="3">temp_data!#REF!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3" l="1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C19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S19" i="2"/>
  <c r="A19" i="2"/>
  <c r="X19" i="2" s="1"/>
  <c r="X18" i="2"/>
  <c r="S18" i="2"/>
  <c r="R18" i="2"/>
  <c r="N18" i="2"/>
  <c r="M18" i="2"/>
  <c r="K18" i="2"/>
  <c r="H18" i="2"/>
  <c r="F18" i="2"/>
  <c r="A18" i="2"/>
  <c r="W18" i="2" s="1"/>
  <c r="W17" i="2"/>
  <c r="R17" i="2"/>
  <c r="Q17" i="2"/>
  <c r="L17" i="2"/>
  <c r="A17" i="2"/>
  <c r="V17" i="2" s="1"/>
  <c r="V16" i="2"/>
  <c r="Q16" i="2"/>
  <c r="P16" i="2"/>
  <c r="K16" i="2"/>
  <c r="A16" i="2"/>
  <c r="U16" i="2" s="1"/>
  <c r="X15" i="2"/>
  <c r="W15" i="2"/>
  <c r="V15" i="2"/>
  <c r="U15" i="2"/>
  <c r="P15" i="2"/>
  <c r="O15" i="2"/>
  <c r="K15" i="2"/>
  <c r="J15" i="2"/>
  <c r="H15" i="2"/>
  <c r="F15" i="2"/>
  <c r="A15" i="2"/>
  <c r="T15" i="2" s="1"/>
  <c r="X14" i="2"/>
  <c r="W14" i="2"/>
  <c r="V14" i="2"/>
  <c r="U14" i="2"/>
  <c r="T14" i="2"/>
  <c r="O14" i="2"/>
  <c r="N14" i="2"/>
  <c r="J14" i="2"/>
  <c r="I14" i="2"/>
  <c r="F14" i="2"/>
  <c r="A14" i="2"/>
  <c r="S14" i="2" s="1"/>
  <c r="V13" i="2"/>
  <c r="S13" i="2"/>
  <c r="M13" i="2"/>
  <c r="A13" i="2"/>
  <c r="R13" i="2" s="1"/>
  <c r="X12" i="2"/>
  <c r="W12" i="2"/>
  <c r="V12" i="2"/>
  <c r="U12" i="2"/>
  <c r="T12" i="2"/>
  <c r="S12" i="2"/>
  <c r="R12" i="2"/>
  <c r="O12" i="2"/>
  <c r="M12" i="2"/>
  <c r="L12" i="2"/>
  <c r="H12" i="2"/>
  <c r="F12" i="2"/>
  <c r="A12" i="2"/>
  <c r="Q12" i="2" s="1"/>
  <c r="U11" i="2"/>
  <c r="T11" i="2"/>
  <c r="S11" i="2"/>
  <c r="R11" i="2"/>
  <c r="Q11" i="2"/>
  <c r="K11" i="2"/>
  <c r="A11" i="2"/>
  <c r="P11" i="2" s="1"/>
  <c r="W10" i="2"/>
  <c r="V10" i="2"/>
  <c r="U10" i="2"/>
  <c r="T10" i="2"/>
  <c r="S10" i="2"/>
  <c r="R10" i="2"/>
  <c r="Q10" i="2"/>
  <c r="P10" i="2"/>
  <c r="K10" i="2"/>
  <c r="J10" i="2"/>
  <c r="A10" i="2"/>
  <c r="O10" i="2" s="1"/>
  <c r="X9" i="2"/>
  <c r="W9" i="2"/>
  <c r="V9" i="2"/>
  <c r="U9" i="2"/>
  <c r="T9" i="2"/>
  <c r="S9" i="2"/>
  <c r="R9" i="2"/>
  <c r="Q9" i="2"/>
  <c r="P9" i="2"/>
  <c r="O9" i="2"/>
  <c r="L9" i="2"/>
  <c r="K9" i="2"/>
  <c r="J9" i="2"/>
  <c r="I9" i="2"/>
  <c r="F9" i="2"/>
  <c r="A9" i="2"/>
  <c r="N9" i="2" s="1"/>
  <c r="X8" i="2"/>
  <c r="W8" i="2"/>
  <c r="V8" i="2"/>
  <c r="U8" i="2"/>
  <c r="T8" i="2"/>
  <c r="S8" i="2"/>
  <c r="R8" i="2"/>
  <c r="Q8" i="2"/>
  <c r="P8" i="2"/>
  <c r="O8" i="2"/>
  <c r="N8" i="2"/>
  <c r="K8" i="2"/>
  <c r="J8" i="2"/>
  <c r="I8" i="2"/>
  <c r="H8" i="2"/>
  <c r="A8" i="2"/>
  <c r="M8" i="2" s="1"/>
  <c r="X7" i="2"/>
  <c r="W7" i="2"/>
  <c r="V7" i="2"/>
  <c r="U7" i="2"/>
  <c r="T7" i="2"/>
  <c r="S7" i="2"/>
  <c r="R7" i="2"/>
  <c r="Q7" i="2"/>
  <c r="P7" i="2"/>
  <c r="O7" i="2"/>
  <c r="N7" i="2"/>
  <c r="M7" i="2"/>
  <c r="J7" i="2"/>
  <c r="I7" i="2"/>
  <c r="H7" i="2"/>
  <c r="F7" i="2"/>
  <c r="A7" i="2"/>
  <c r="L7" i="2" s="1"/>
  <c r="Q6" i="2"/>
  <c r="P6" i="2"/>
  <c r="O6" i="2"/>
  <c r="N6" i="2"/>
  <c r="M6" i="2"/>
  <c r="L6" i="2"/>
  <c r="A6" i="2"/>
  <c r="K6" i="2" s="1"/>
  <c r="T5" i="2"/>
  <c r="S5" i="2"/>
  <c r="R5" i="2"/>
  <c r="Q5" i="2"/>
  <c r="P5" i="2"/>
  <c r="O5" i="2"/>
  <c r="N5" i="2"/>
  <c r="M5" i="2"/>
  <c r="L5" i="2"/>
  <c r="K5" i="2"/>
  <c r="A5" i="2"/>
  <c r="J5" i="2" s="1"/>
  <c r="X4" i="2"/>
  <c r="T4" i="2"/>
  <c r="S4" i="2"/>
  <c r="R4" i="2"/>
  <c r="Q4" i="2"/>
  <c r="P4" i="2"/>
  <c r="O4" i="2"/>
  <c r="N4" i="2"/>
  <c r="M4" i="2"/>
  <c r="L4" i="2"/>
  <c r="K4" i="2"/>
  <c r="J4" i="2"/>
  <c r="A4" i="2"/>
  <c r="I4" i="2" s="1"/>
  <c r="A3" i="2"/>
  <c r="F3" i="2" s="1"/>
  <c r="N26" i="2"/>
  <c r="N25" i="2"/>
  <c r="N24" i="2"/>
  <c r="N23" i="2"/>
  <c r="N22" i="2"/>
  <c r="N21" i="2"/>
  <c r="N20" i="2"/>
  <c r="J3" i="2" l="1"/>
  <c r="H40" i="3" s="1"/>
  <c r="K3" i="2"/>
  <c r="F16" i="3" s="1"/>
  <c r="I3" i="2"/>
  <c r="E27" i="3" s="1"/>
  <c r="L3" i="2"/>
  <c r="M3" i="2"/>
  <c r="N3" i="2"/>
  <c r="O3" i="2"/>
  <c r="N16" i="3" s="1"/>
  <c r="P3" i="2"/>
  <c r="C23" i="3"/>
  <c r="E35" i="3"/>
  <c r="S3" i="2"/>
  <c r="D27" i="3" s="1"/>
  <c r="N5" i="3"/>
  <c r="H19" i="3"/>
  <c r="N23" i="3"/>
  <c r="Q3" i="2"/>
  <c r="C24" i="3"/>
  <c r="U3" i="2"/>
  <c r="H9" i="3"/>
  <c r="D19" i="3"/>
  <c r="D25" i="3"/>
  <c r="H35" i="3"/>
  <c r="E19" i="3"/>
  <c r="E25" i="3"/>
  <c r="T3" i="2"/>
  <c r="J5" i="3" s="1"/>
  <c r="V3" i="2"/>
  <c r="W3" i="2"/>
  <c r="I19" i="3"/>
  <c r="F25" i="3"/>
  <c r="E9" i="3"/>
  <c r="H13" i="3"/>
  <c r="J19" i="3"/>
  <c r="G25" i="3"/>
  <c r="N28" i="3"/>
  <c r="L32" i="3"/>
  <c r="R3" i="2"/>
  <c r="I9" i="3" s="1"/>
  <c r="X3" i="2"/>
  <c r="L5" i="3" s="1"/>
  <c r="K19" i="3"/>
  <c r="H25" i="3"/>
  <c r="L35" i="3"/>
  <c r="L19" i="3"/>
  <c r="I25" i="3"/>
  <c r="N33" i="3"/>
  <c r="N35" i="3"/>
  <c r="N3" i="3"/>
  <c r="N19" i="3"/>
  <c r="J25" i="3"/>
  <c r="L42" i="3"/>
  <c r="A2" i="3"/>
  <c r="H3" i="2"/>
  <c r="D20" i="3"/>
  <c r="K25" i="3"/>
  <c r="N49" i="3"/>
  <c r="E15" i="3"/>
  <c r="L25" i="3"/>
  <c r="E39" i="3"/>
  <c r="N43" i="3"/>
  <c r="N9" i="3"/>
  <c r="E18" i="3"/>
  <c r="C21" i="3"/>
  <c r="N25" i="3"/>
  <c r="G21" i="3"/>
  <c r="F48" i="3"/>
  <c r="E8" i="3"/>
  <c r="N11" i="3"/>
  <c r="I21" i="3"/>
  <c r="J21" i="3"/>
  <c r="N44" i="3"/>
  <c r="K21" i="3"/>
  <c r="E12" i="3"/>
  <c r="L24" i="3"/>
  <c r="K24" i="3"/>
  <c r="J24" i="3"/>
  <c r="N30" i="3"/>
  <c r="F22" i="3"/>
  <c r="E22" i="3"/>
  <c r="C22" i="3"/>
  <c r="D22" i="3"/>
  <c r="D24" i="3"/>
  <c r="H24" i="3"/>
  <c r="H4" i="3"/>
  <c r="E20" i="3"/>
  <c r="L22" i="3"/>
  <c r="F10" i="3"/>
  <c r="J20" i="3"/>
  <c r="H41" i="3"/>
  <c r="N21" i="3"/>
  <c r="L21" i="3"/>
  <c r="N22" i="3"/>
  <c r="N7" i="3"/>
  <c r="L23" i="3"/>
  <c r="K23" i="3"/>
  <c r="I23" i="3"/>
  <c r="J23" i="3"/>
  <c r="F23" i="3"/>
  <c r="E23" i="3"/>
  <c r="D23" i="3"/>
  <c r="H33" i="3"/>
  <c r="J41" i="3"/>
  <c r="N50" i="3"/>
  <c r="L4" i="3"/>
  <c r="E24" i="3"/>
  <c r="H6" i="3"/>
  <c r="F43" i="3"/>
  <c r="E43" i="3"/>
  <c r="E47" i="3"/>
  <c r="G24" i="3"/>
  <c r="E6" i="3"/>
  <c r="I24" i="3"/>
  <c r="N26" i="3"/>
  <c r="N27" i="3"/>
  <c r="D21" i="3"/>
  <c r="H31" i="3"/>
  <c r="F42" i="3"/>
  <c r="E42" i="3"/>
  <c r="E46" i="3"/>
  <c r="D7" i="3"/>
  <c r="L13" i="3"/>
  <c r="E13" i="3"/>
  <c r="E21" i="3"/>
  <c r="G23" i="3"/>
  <c r="F21" i="3"/>
  <c r="H23" i="3"/>
  <c r="N40" i="3"/>
  <c r="F44" i="3"/>
  <c r="N41" i="3"/>
  <c r="G22" i="3"/>
  <c r="N20" i="3"/>
  <c r="K20" i="3"/>
  <c r="L20" i="3"/>
  <c r="H20" i="3"/>
  <c r="G20" i="3"/>
  <c r="F20" i="3"/>
  <c r="F24" i="3"/>
  <c r="E30" i="3"/>
  <c r="N37" i="3"/>
  <c r="N10" i="3"/>
  <c r="J16" i="3"/>
  <c r="H22" i="3"/>
  <c r="C20" i="3"/>
  <c r="I22" i="3"/>
  <c r="J30" i="3"/>
  <c r="F6" i="3"/>
  <c r="J22" i="3"/>
  <c r="K22" i="3"/>
  <c r="E10" i="3"/>
  <c r="I20" i="3"/>
  <c r="N24" i="3"/>
  <c r="J3" i="3"/>
  <c r="E11" i="3"/>
  <c r="H36" i="3"/>
  <c r="H3" i="3"/>
  <c r="H21" i="3"/>
  <c r="F19" i="3"/>
  <c r="F29" i="3"/>
  <c r="F49" i="3"/>
  <c r="G19" i="3"/>
  <c r="C25" i="3"/>
  <c r="T13" i="2"/>
  <c r="W16" i="2"/>
  <c r="X17" i="2"/>
  <c r="U13" i="2"/>
  <c r="X16" i="2"/>
  <c r="F19" i="2"/>
  <c r="H19" i="2"/>
  <c r="W13" i="2"/>
  <c r="F17" i="2"/>
  <c r="I19" i="2"/>
  <c r="V11" i="2"/>
  <c r="X13" i="2"/>
  <c r="F16" i="2"/>
  <c r="H17" i="2"/>
  <c r="I18" i="2"/>
  <c r="J19" i="2"/>
  <c r="W11" i="2"/>
  <c r="H16" i="2"/>
  <c r="I17" i="2"/>
  <c r="J18" i="2"/>
  <c r="K19" i="2"/>
  <c r="R6" i="2"/>
  <c r="X11" i="2"/>
  <c r="I16" i="2"/>
  <c r="J17" i="2"/>
  <c r="L19" i="2"/>
  <c r="T6" i="2"/>
  <c r="X10" i="2"/>
  <c r="F13" i="2"/>
  <c r="H14" i="2"/>
  <c r="I15" i="2"/>
  <c r="J16" i="2"/>
  <c r="K17" i="2"/>
  <c r="L18" i="2"/>
  <c r="M19" i="2"/>
  <c r="H13" i="2"/>
  <c r="N19" i="2"/>
  <c r="S6" i="2"/>
  <c r="U6" i="2"/>
  <c r="L16" i="2"/>
  <c r="M17" i="2"/>
  <c r="F10" i="2"/>
  <c r="H11" i="2"/>
  <c r="I12" i="2"/>
  <c r="J13" i="2"/>
  <c r="K14" i="2"/>
  <c r="L15" i="2"/>
  <c r="M16" i="2"/>
  <c r="N17" i="2"/>
  <c r="O18" i="2"/>
  <c r="P19" i="2"/>
  <c r="U5" i="2"/>
  <c r="V6" i="2"/>
  <c r="F11" i="2"/>
  <c r="O19" i="2"/>
  <c r="U4" i="2"/>
  <c r="V5" i="2"/>
  <c r="W6" i="2"/>
  <c r="V4" i="2"/>
  <c r="W5" i="2"/>
  <c r="X6" i="2"/>
  <c r="I13" i="2"/>
  <c r="H10" i="2"/>
  <c r="I11" i="2"/>
  <c r="J12" i="2"/>
  <c r="K13" i="2"/>
  <c r="L14" i="2"/>
  <c r="M15" i="2"/>
  <c r="N16" i="2"/>
  <c r="O17" i="2"/>
  <c r="P18" i="2"/>
  <c r="Q19" i="2"/>
  <c r="W4" i="2"/>
  <c r="K31" i="3" s="1"/>
  <c r="X5" i="2"/>
  <c r="F8" i="2"/>
  <c r="H9" i="2"/>
  <c r="I10" i="2"/>
  <c r="J11" i="2"/>
  <c r="K12" i="2"/>
  <c r="L13" i="2"/>
  <c r="M14" i="2"/>
  <c r="N15" i="2"/>
  <c r="O16" i="2"/>
  <c r="P17" i="2"/>
  <c r="Q18" i="2"/>
  <c r="R19" i="2"/>
  <c r="T19" i="2"/>
  <c r="L11" i="2"/>
  <c r="L10" i="2"/>
  <c r="M11" i="2"/>
  <c r="N12" i="2"/>
  <c r="O13" i="2"/>
  <c r="P14" i="2"/>
  <c r="Q15" i="2"/>
  <c r="R16" i="2"/>
  <c r="S17" i="2"/>
  <c r="T18" i="2"/>
  <c r="U19" i="2"/>
  <c r="F4" i="2"/>
  <c r="C50" i="3" s="1"/>
  <c r="H5" i="2"/>
  <c r="I6" i="2"/>
  <c r="F5" i="2"/>
  <c r="H6" i="2"/>
  <c r="M10" i="2"/>
  <c r="N11" i="2"/>
  <c r="U18" i="2"/>
  <c r="F6" i="2"/>
  <c r="N13" i="2"/>
  <c r="P13" i="2"/>
  <c r="Q14" i="2"/>
  <c r="R15" i="2"/>
  <c r="S16" i="2"/>
  <c r="T17" i="2"/>
  <c r="V19" i="2"/>
  <c r="H4" i="2"/>
  <c r="G35" i="3" s="1"/>
  <c r="I5" i="2"/>
  <c r="J6" i="2"/>
  <c r="K7" i="2"/>
  <c r="L8" i="2"/>
  <c r="M9" i="2"/>
  <c r="N10" i="2"/>
  <c r="O11" i="2"/>
  <c r="P12" i="2"/>
  <c r="Q13" i="2"/>
  <c r="R14" i="2"/>
  <c r="S15" i="2"/>
  <c r="T16" i="2"/>
  <c r="U17" i="2"/>
  <c r="V18" i="2"/>
  <c r="W19" i="2"/>
  <c r="C2" i="3"/>
  <c r="F2" i="3"/>
  <c r="D2" i="3"/>
  <c r="G2" i="3"/>
  <c r="J2" i="3"/>
  <c r="E2" i="3"/>
  <c r="K2" i="3"/>
  <c r="H2" i="3"/>
  <c r="I2" i="3"/>
  <c r="J31" i="3" l="1"/>
  <c r="F26" i="3"/>
  <c r="E41" i="3"/>
  <c r="F12" i="3"/>
  <c r="N36" i="3"/>
  <c r="N42" i="3"/>
  <c r="F7" i="3"/>
  <c r="H49" i="3"/>
  <c r="N18" i="3"/>
  <c r="H46" i="3"/>
  <c r="N12" i="3"/>
  <c r="E14" i="3"/>
  <c r="N39" i="3"/>
  <c r="F34" i="3"/>
  <c r="D39" i="3"/>
  <c r="N13" i="3"/>
  <c r="E49" i="3"/>
  <c r="H32" i="3"/>
  <c r="N15" i="3"/>
  <c r="F9" i="3"/>
  <c r="F27" i="3"/>
  <c r="E16" i="3"/>
  <c r="N29" i="3"/>
  <c r="E26" i="3"/>
  <c r="F36" i="3"/>
  <c r="H7" i="3"/>
  <c r="N45" i="3"/>
  <c r="F38" i="3"/>
  <c r="N14" i="3"/>
  <c r="E17" i="3"/>
  <c r="F4" i="3"/>
  <c r="E29" i="3"/>
  <c r="J49" i="3"/>
  <c r="J35" i="3"/>
  <c r="F28" i="3"/>
  <c r="E3" i="3"/>
  <c r="H27" i="3"/>
  <c r="H17" i="3"/>
  <c r="F47" i="3"/>
  <c r="H11" i="3"/>
  <c r="F18" i="3"/>
  <c r="N46" i="3"/>
  <c r="L28" i="3"/>
  <c r="N8" i="3"/>
  <c r="F3" i="3"/>
  <c r="E7" i="3"/>
  <c r="J27" i="3"/>
  <c r="H26" i="3"/>
  <c r="N17" i="3"/>
  <c r="L14" i="3"/>
  <c r="H48" i="3"/>
  <c r="F5" i="3"/>
  <c r="N38" i="3"/>
  <c r="N6" i="3"/>
  <c r="F45" i="3"/>
  <c r="F46" i="3"/>
  <c r="E48" i="3"/>
  <c r="D15" i="3"/>
  <c r="E38" i="3"/>
  <c r="F37" i="3"/>
  <c r="H43" i="3"/>
  <c r="E44" i="3"/>
  <c r="H12" i="3"/>
  <c r="H47" i="3"/>
  <c r="E31" i="3"/>
  <c r="H34" i="3"/>
  <c r="E34" i="3"/>
  <c r="L9" i="3"/>
  <c r="N32" i="3"/>
  <c r="F17" i="3"/>
  <c r="N48" i="3"/>
  <c r="N34" i="3"/>
  <c r="H44" i="3"/>
  <c r="D16" i="3"/>
  <c r="E33" i="3"/>
  <c r="L31" i="3"/>
  <c r="J47" i="3"/>
  <c r="L7" i="3"/>
  <c r="H29" i="3"/>
  <c r="E40" i="3"/>
  <c r="F31" i="3"/>
  <c r="E36" i="3"/>
  <c r="H16" i="3"/>
  <c r="F33" i="3"/>
  <c r="L34" i="3"/>
  <c r="N31" i="3"/>
  <c r="N47" i="3"/>
  <c r="H18" i="3"/>
  <c r="N4" i="3"/>
  <c r="H38" i="3"/>
  <c r="E28" i="3"/>
  <c r="D32" i="3"/>
  <c r="F14" i="3"/>
  <c r="F50" i="3"/>
  <c r="F8" i="3"/>
  <c r="F35" i="3"/>
  <c r="E45" i="3"/>
  <c r="E32" i="3"/>
  <c r="H10" i="3"/>
  <c r="H50" i="3"/>
  <c r="H5" i="3"/>
  <c r="F15" i="3"/>
  <c r="F41" i="3"/>
  <c r="H28" i="3"/>
  <c r="H8" i="3"/>
  <c r="F32" i="3"/>
  <c r="D50" i="3"/>
  <c r="E37" i="3"/>
  <c r="F13" i="3"/>
  <c r="F30" i="3"/>
  <c r="I44" i="3"/>
  <c r="E5" i="3"/>
  <c r="H42" i="3"/>
  <c r="F11" i="3"/>
  <c r="E4" i="3"/>
  <c r="E50" i="3"/>
  <c r="H14" i="3"/>
  <c r="H30" i="3"/>
  <c r="D48" i="3"/>
  <c r="D13" i="3"/>
  <c r="H37" i="3"/>
  <c r="F40" i="3"/>
  <c r="D43" i="3"/>
  <c r="H15" i="3"/>
  <c r="H39" i="3"/>
  <c r="H45" i="3"/>
  <c r="F39" i="3"/>
  <c r="D36" i="3"/>
  <c r="D40" i="3"/>
  <c r="D10" i="3"/>
  <c r="C46" i="3"/>
  <c r="G12" i="3"/>
  <c r="K10" i="3"/>
  <c r="C33" i="3"/>
  <c r="G8" i="3"/>
  <c r="C44" i="3"/>
  <c r="C39" i="3"/>
  <c r="C7" i="3"/>
  <c r="C45" i="3"/>
  <c r="C10" i="3"/>
  <c r="C27" i="3"/>
  <c r="K17" i="3"/>
  <c r="K32" i="3"/>
  <c r="C40" i="3"/>
  <c r="C35" i="3"/>
  <c r="G46" i="3"/>
  <c r="G7" i="3"/>
  <c r="C15" i="3"/>
  <c r="C43" i="3"/>
  <c r="K16" i="3"/>
  <c r="C47" i="3"/>
  <c r="K29" i="3"/>
  <c r="K7" i="3"/>
  <c r="G9" i="3"/>
  <c r="C30" i="3"/>
  <c r="C48" i="3"/>
  <c r="C5" i="3"/>
  <c r="C4" i="3"/>
  <c r="G30" i="3"/>
  <c r="K38" i="3"/>
  <c r="G14" i="3"/>
  <c r="G29" i="3"/>
  <c r="C32" i="3"/>
  <c r="C26" i="3"/>
  <c r="G15" i="3"/>
  <c r="K26" i="3"/>
  <c r="C11" i="3"/>
  <c r="C34" i="3"/>
  <c r="C29" i="3"/>
  <c r="C17" i="3"/>
  <c r="G40" i="3"/>
  <c r="G26" i="3"/>
  <c r="G48" i="3"/>
  <c r="C31" i="3"/>
  <c r="C41" i="3"/>
  <c r="C3" i="3"/>
  <c r="K4" i="3"/>
  <c r="C9" i="3"/>
  <c r="C12" i="3"/>
  <c r="C37" i="3"/>
  <c r="C49" i="3"/>
  <c r="C42" i="3"/>
  <c r="C18" i="3"/>
  <c r="K44" i="3"/>
  <c r="C36" i="3"/>
  <c r="C16" i="3"/>
  <c r="C14" i="3"/>
  <c r="C38" i="3"/>
  <c r="C13" i="3"/>
  <c r="G16" i="3"/>
  <c r="K43" i="3"/>
  <c r="G50" i="3"/>
  <c r="C8" i="3"/>
  <c r="G44" i="3"/>
  <c r="C6" i="3"/>
  <c r="C28" i="3"/>
  <c r="G5" i="3"/>
  <c r="G11" i="3"/>
  <c r="G6" i="3"/>
  <c r="I34" i="3"/>
  <c r="I28" i="3"/>
  <c r="K48" i="3"/>
  <c r="D3" i="3"/>
  <c r="D6" i="3"/>
  <c r="G38" i="3"/>
  <c r="K3" i="3"/>
  <c r="I16" i="3"/>
  <c r="K46" i="3"/>
  <c r="D44" i="3"/>
  <c r="I6" i="3"/>
  <c r="I47" i="3"/>
  <c r="D37" i="3"/>
  <c r="K39" i="3"/>
  <c r="K36" i="3"/>
  <c r="I49" i="3"/>
  <c r="K45" i="3"/>
  <c r="G28" i="3"/>
  <c r="I36" i="3"/>
  <c r="I3" i="3"/>
  <c r="D42" i="3"/>
  <c r="I14" i="3"/>
  <c r="L30" i="3"/>
  <c r="I18" i="3"/>
  <c r="D34" i="3"/>
  <c r="L17" i="3"/>
  <c r="L46" i="3"/>
  <c r="G13" i="3"/>
  <c r="J40" i="3"/>
  <c r="G36" i="3"/>
  <c r="L3" i="3"/>
  <c r="G4" i="3"/>
  <c r="G10" i="3"/>
  <c r="G42" i="3"/>
  <c r="J34" i="3"/>
  <c r="J6" i="3"/>
  <c r="I17" i="3"/>
  <c r="K12" i="3"/>
  <c r="K30" i="3"/>
  <c r="J15" i="3"/>
  <c r="G34" i="3"/>
  <c r="J10" i="3"/>
  <c r="I29" i="3"/>
  <c r="N2" i="3"/>
  <c r="L2" i="3"/>
  <c r="D9" i="3"/>
  <c r="J38" i="3"/>
  <c r="G39" i="3"/>
  <c r="J36" i="3"/>
  <c r="G41" i="3"/>
  <c r="K34" i="3"/>
  <c r="G47" i="3"/>
  <c r="D4" i="3"/>
  <c r="J17" i="3"/>
  <c r="I10" i="3"/>
  <c r="L29" i="3"/>
  <c r="D8" i="3"/>
  <c r="L49" i="3"/>
  <c r="J9" i="3"/>
  <c r="K35" i="3"/>
  <c r="K18" i="3"/>
  <c r="D41" i="3"/>
  <c r="D18" i="3"/>
  <c r="I32" i="3"/>
  <c r="I45" i="3"/>
  <c r="L11" i="3"/>
  <c r="L15" i="3"/>
  <c r="L10" i="3"/>
  <c r="I31" i="3"/>
  <c r="L12" i="3"/>
  <c r="G37" i="3"/>
  <c r="I5" i="3"/>
  <c r="G3" i="3"/>
  <c r="J28" i="3"/>
  <c r="K8" i="3"/>
  <c r="J11" i="3"/>
  <c r="D33" i="3"/>
  <c r="L40" i="3"/>
  <c r="K27" i="3"/>
  <c r="G27" i="3"/>
  <c r="I30" i="3"/>
  <c r="L50" i="3"/>
  <c r="I7" i="3"/>
  <c r="D47" i="3"/>
  <c r="I50" i="3"/>
  <c r="G18" i="3"/>
  <c r="I39" i="3"/>
  <c r="D5" i="3"/>
  <c r="D29" i="3"/>
  <c r="L48" i="3"/>
  <c r="I8" i="3"/>
  <c r="K40" i="3"/>
  <c r="K50" i="3"/>
  <c r="J7" i="3"/>
  <c r="D31" i="3"/>
  <c r="D30" i="3"/>
  <c r="G43" i="3"/>
  <c r="L36" i="3"/>
  <c r="D49" i="3"/>
  <c r="G45" i="3"/>
  <c r="K5" i="3"/>
  <c r="I42" i="3"/>
  <c r="D46" i="3"/>
  <c r="D14" i="3"/>
  <c r="J14" i="3"/>
  <c r="D12" i="3"/>
  <c r="J42" i="3"/>
  <c r="G17" i="3"/>
  <c r="L45" i="3"/>
  <c r="G32" i="3"/>
  <c r="J48" i="3"/>
  <c r="G49" i="3"/>
  <c r="J33" i="3"/>
  <c r="D17" i="3"/>
  <c r="J44" i="3"/>
  <c r="K14" i="3"/>
  <c r="L39" i="3"/>
  <c r="J29" i="3"/>
  <c r="K9" i="3"/>
  <c r="I12" i="3"/>
  <c r="I33" i="3"/>
  <c r="D35" i="3"/>
  <c r="D38" i="3"/>
  <c r="I46" i="3"/>
  <c r="I37" i="3"/>
  <c r="K33" i="3"/>
  <c r="L27" i="3"/>
  <c r="L6" i="3"/>
  <c r="L37" i="3"/>
  <c r="L44" i="3"/>
  <c r="J12" i="3"/>
  <c r="I35" i="3"/>
  <c r="D28" i="3"/>
  <c r="J46" i="3"/>
  <c r="I4" i="3"/>
  <c r="J37" i="3"/>
  <c r="L33" i="3"/>
  <c r="J13" i="3"/>
  <c r="L47" i="3"/>
  <c r="D26" i="3"/>
  <c r="I41" i="3"/>
  <c r="J50" i="3"/>
  <c r="K49" i="3"/>
  <c r="J32" i="3"/>
  <c r="J45" i="3"/>
  <c r="L16" i="3"/>
  <c r="J18" i="3"/>
  <c r="K41" i="3"/>
  <c r="L26" i="3"/>
  <c r="I13" i="3"/>
  <c r="J43" i="3"/>
  <c r="K37" i="3"/>
  <c r="J4" i="3"/>
  <c r="I48" i="3"/>
  <c r="I15" i="3"/>
  <c r="K47" i="3"/>
  <c r="K28" i="3"/>
  <c r="I40" i="3"/>
  <c r="L8" i="3"/>
  <c r="L18" i="3"/>
  <c r="K15" i="3"/>
  <c r="G31" i="3"/>
  <c r="K13" i="3"/>
  <c r="I27" i="3"/>
  <c r="I43" i="3"/>
  <c r="I26" i="3"/>
  <c r="G33" i="3"/>
  <c r="D45" i="3"/>
  <c r="J39" i="3"/>
  <c r="K42" i="3"/>
  <c r="L38" i="3"/>
  <c r="I38" i="3"/>
  <c r="K11" i="3"/>
  <c r="I11" i="3"/>
  <c r="J8" i="3"/>
  <c r="K6" i="3"/>
  <c r="L41" i="3"/>
  <c r="D11" i="3"/>
  <c r="L43" i="3"/>
  <c r="J2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34B550-9619-4C44-9BD1-7D0C3119043D}" name="data4excel10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A9B1E33F-D46A-4CBB-B1E3-23B9CC9131EB}" name="data4excel11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3" xr16:uid="{13676FA0-A181-46C3-B2B6-0658CA8EEE28}" name="data4excel12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4" xr16:uid="{88B9A205-E68D-43A0-8EC4-358BFDCBE097}" name="data4excel13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5" xr16:uid="{B9B05CC4-D0F7-4518-91A2-36D1A147B69A}" name="data4excel14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6" xr16:uid="{E95CD045-331E-4B84-8D91-9FD68F5A4B8D}" name="data4excel15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7" xr16:uid="{603F67D1-AA07-450A-AB87-4BF2FAC92CFB}" name="data4excel16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8" xr16:uid="{69A5FA4C-2CC2-406A-B794-AAC4E547E5A5}" name="data4excel17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9" xr16:uid="{54F7BA14-EF54-4B53-9BFD-2A00C9790A7B}" name="data4excel18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0" xr16:uid="{B96CC679-5ADE-470A-BD0F-D96B3E4FD09B}" name="data4excel19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1" xr16:uid="{F4816772-EAA2-48CB-B51C-C4F778BA1CDB}" name="data4excel20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2" xr16:uid="{4027E00B-932A-47B5-A539-D4A66D06FD3A}" name="data4excel21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3" xr16:uid="{1CBE679B-0625-4776-8803-670670659A2B}" name="data4excel22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4" xr16:uid="{860A5264-9F8C-4827-A8C7-6BDFE1F0524F}" name="data4excel23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5" xr16:uid="{D156E2D5-CB3C-4D0B-BCA2-F86FBF7890FA}" name="data4excel24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6" xr16:uid="{4A6BD6ED-AF80-4A19-B4EA-647C9FF5A00B}" name="data4excel9" type="6" refreshedVersion="8" background="1" saveData="1">
    <textPr prompt="0" sourceFile="C:\lambert\ICC\Upgrade_Hardening_FDE\tools_scripts_procedure\Upgrade tools for GCC\MHM_Estimator\data4excel.out" tab="0" space="1" delimiter="F">
      <textFields count="5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<sst xmlns="http://schemas.openxmlformats.org/spreadsheetml/2006/main" count="156" uniqueCount="111">
  <si>
    <t>CR#</t>
  </si>
  <si>
    <t>CR_Short_Desc</t>
  </si>
  <si>
    <t>CR_End_date</t>
  </si>
  <si>
    <t>Account</t>
  </si>
  <si>
    <t>CR Basic Info</t>
  </si>
  <si>
    <t>chg_assignment_group</t>
  </si>
  <si>
    <t>chg_assigned_to</t>
  </si>
  <si>
    <t>System info</t>
  </si>
  <si>
    <t>Platform_Type</t>
  </si>
  <si>
    <t>Solution_type</t>
  </si>
  <si>
    <t>Siteid</t>
  </si>
  <si>
    <t>MHM Details</t>
  </si>
  <si>
    <t>Est_Total</t>
  </si>
  <si>
    <t>Act_redist_offline</t>
  </si>
  <si>
    <t>Act_redist_online</t>
  </si>
  <si>
    <t>Est_redisct</t>
  </si>
  <si>
    <t>Est_del</t>
  </si>
  <si>
    <t>Act_del</t>
  </si>
  <si>
    <t>Act_Total</t>
  </si>
  <si>
    <t>Node#_cur</t>
  </si>
  <si>
    <t>AMP#_cur</t>
  </si>
  <si>
    <t>Node#_new</t>
  </si>
  <si>
    <t>AMP#_new</t>
  </si>
  <si>
    <t>DB_ver</t>
  </si>
  <si>
    <t>DB_Size(TB)</t>
  </si>
  <si>
    <t xml:space="preserve">avg_throughput </t>
  </si>
  <si>
    <t xml:space="preserve">max_throughput </t>
  </si>
  <si>
    <t xml:space="preserve">min_throughput </t>
  </si>
  <si>
    <t>Data demographics</t>
  </si>
  <si>
    <t>Empty_tbl#</t>
  </si>
  <si>
    <t>S_tbl#</t>
  </si>
  <si>
    <t>M_tbl#</t>
  </si>
  <si>
    <t>L_tbl#</t>
  </si>
  <si>
    <t>CHG0246640</t>
  </si>
  <si>
    <t>CHG EMEA COE</t>
  </si>
  <si>
    <t>Zaki</t>
  </si>
  <si>
    <t>ALRAJHI04</t>
  </si>
  <si>
    <t>17.20.03.30</t>
  </si>
  <si>
    <t>40 Hrs 17 Mins</t>
  </si>
  <si>
    <t>Uncmpressed Size</t>
  </si>
  <si>
    <t xml:space="preserve">Avg_throughput </t>
  </si>
  <si>
    <t>803.985TB</t>
  </si>
  <si>
    <t>Compression Ratio</t>
  </si>
  <si>
    <t>TB_tbl#</t>
  </si>
  <si>
    <t>GB_tbl#</t>
  </si>
  <si>
    <t>MB_tbl#</t>
  </si>
  <si>
    <t>Total tbls</t>
  </si>
  <si>
    <t>CHG0219040</t>
  </si>
  <si>
    <t>17.20.03.33</t>
  </si>
  <si>
    <t>CHG APAC</t>
  </si>
  <si>
    <t>Azam</t>
  </si>
  <si>
    <t>BANGLALINKIFX</t>
  </si>
  <si>
    <t>6 Hrs 13 Mins</t>
  </si>
  <si>
    <t>223.689TB</t>
  </si>
  <si>
    <t>UNICREDA</t>
  </si>
  <si>
    <t>CHG0239574</t>
  </si>
  <si>
    <t>James</t>
  </si>
  <si>
    <t>17.20.03.35</t>
  </si>
  <si>
    <t>57  Hrs 17 Mns</t>
  </si>
  <si>
    <t>5.2 TB / Hour</t>
  </si>
  <si>
    <t>8.33 TB / Hour</t>
  </si>
  <si>
    <t>10.2 TB / Hour</t>
  </si>
  <si>
    <t>2310.055TB</t>
  </si>
  <si>
    <t>17.10.03.30</t>
  </si>
  <si>
    <t>PTMLIFX</t>
  </si>
  <si>
    <t>CHG0235347</t>
  </si>
  <si>
    <t>38 Hrs 45 Mins</t>
  </si>
  <si>
    <t>7 TB / Hour</t>
  </si>
  <si>
    <t>613.533TB</t>
  </si>
  <si>
    <t>CHG0212746</t>
  </si>
  <si>
    <t>MOBILY02</t>
  </si>
  <si>
    <t>16.20.53.57</t>
  </si>
  <si>
    <t>24 Hrs</t>
  </si>
  <si>
    <t>8.75 TB / Hour</t>
  </si>
  <si>
    <t>665.885TB</t>
  </si>
  <si>
    <t>CHG0195590</t>
  </si>
  <si>
    <t>STDSTP05</t>
  </si>
  <si>
    <t>17.10.03.38</t>
  </si>
  <si>
    <t>12 Hrs 39 Mins</t>
  </si>
  <si>
    <t>33.33  TB / Hour</t>
  </si>
  <si>
    <t>1730.011TB</t>
  </si>
  <si>
    <t>TDICAMTSBKPRD05</t>
  </si>
  <si>
    <t>CHG0251187</t>
  </si>
  <si>
    <t>Sonny</t>
  </si>
  <si>
    <t>20.00.24.55</t>
  </si>
  <si>
    <t>3 Hrs 28 Mins</t>
  </si>
  <si>
    <t>1.611 TB / Hour</t>
  </si>
  <si>
    <t>23.187TB</t>
  </si>
  <si>
    <t>Time Estimation(Hour)</t>
  </si>
  <si>
    <t>IFX_2.1</t>
  </si>
  <si>
    <t>IFX_2.1.1</t>
  </si>
  <si>
    <t>30</t>
  </si>
  <si>
    <t>29.49</t>
  </si>
  <si>
    <t>24</t>
  </si>
  <si>
    <t>576</t>
  </si>
  <si>
    <t>32</t>
  </si>
  <si>
    <t>768</t>
  </si>
  <si>
    <t>6.54</t>
  </si>
  <si>
    <t>20.25</t>
  </si>
  <si>
    <t>26.79</t>
  </si>
  <si>
    <t>884.751</t>
  </si>
  <si>
    <t>204.20</t>
  </si>
  <si>
    <t>4.33</t>
  </si>
  <si>
    <t>96143</t>
  </si>
  <si>
    <t>152</t>
  </si>
  <si>
    <t>11462</t>
  </si>
  <si>
    <t>91818</t>
  </si>
  <si>
    <t>199575</t>
  </si>
  <si>
    <t>CHG0239666</t>
  </si>
  <si>
    <t>IFX_2.5</t>
  </si>
  <si>
    <t>Amazon_Cloud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</si>
</sst>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2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0" borderId="0" xfId="0" applyFont="1"/>
    <xf numFmtId="0" fontId="1" fillId="4" borderId="5" xfId="0" applyFont="1" applyFill="1" applyBorder="1"/>
    <xf numFmtId="0" fontId="1" fillId="4" borderId="6" xfId="0" applyFont="1" applyFill="1" applyBorder="1"/>
    <xf numFmtId="0" fontId="1" fillId="5" borderId="5" xfId="0" applyFont="1" applyFill="1" applyBorder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1" fillId="6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259080</xdr:colOff>
          <xdr:row>1</xdr:row>
          <xdr:rowOff>11430</xdr:rowOff>
        </xdr:from>
        <xdr:to>
          <xdr:col>15</xdr:col>
          <xdr:colOff>754380</xdr:colOff>
          <xdr:row>2</xdr:row>
          <xdr:rowOff>163830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Import Data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14</xdr:col>
      <xdr:colOff>289560</xdr:colOff>
      <xdr:row>2</xdr:row>
      <xdr:rowOff>181927</xdr:rowOff>
    </xdr:from>
    <xdr:to>
      <xdr:col>15</xdr:col>
      <xdr:colOff>762000</xdr:colOff>
      <xdr:row>7</xdr:row>
      <xdr:rowOff>19050</xdr:rowOff>
    </xdr:to>
    <xdr:pic macro="[0]!Import_Est_data.ImportData4Excel">
      <xdr:nvPicPr>
        <xdr:cNvPr id="6" name="Picture 5" descr="Red alert button">
          <a:extLst>
            <a:ext uri="{FF2B5EF4-FFF2-40B4-BE49-F238E27FC236}">
              <a16:creationId xmlns:a16="http://schemas.microsoft.com/office/drawing/2014/main" id="{6D12A285-A269-B604-CA36-890F0B5D2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astelsSmooth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6370" y="722947"/>
          <a:ext cx="1112520" cy="751523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  <a:effectLst>
          <a:outerShdw blurRad="50800" dist="50800" dir="5400000" sx="103000" sy="103000" algn="ctr" rotWithShape="0">
            <a:srgbClr val="000000">
              <a:alpha val="43137"/>
            </a:srgbClr>
          </a:outerShdw>
        </a:effectLst>
        <a:scene3d>
          <a:camera prst="orthographicFront"/>
          <a:lightRig rig="threePt" dir="t"/>
        </a:scene3d>
        <a:sp3d contourW="12700">
          <a:contourClr>
            <a:srgbClr val="FFFF00"/>
          </a:contourClr>
        </a:sp3d>
      </xdr:spPr>
    </xdr:pic>
    <xdr:clientData fLocksWithSheet="0"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15" xr16:uid="{D4657346-7F38-4C4C-9960-F35BEC94BBDB}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14" xr16:uid="{B8488E6B-3F2D-4E95-948A-76B1EF02FF8B}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13" xr16:uid="{3BFC7B95-13B5-49CC-A35D-0DA2BFB3E278}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12" xr16:uid="{40DE527A-14DE-4B29-994F-0BEAB17AD2A4}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11" xr16:uid="{88DE5202-D966-4E84-82C1-D6E53ED97510}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10" xr16:uid="{1C0AA405-AF4B-4F2B-931D-00550A5B7FFF}" autoFormatId="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9" xr16:uid="{94A2E2CB-DBC9-48DE-B674-8DFC15705669}" autoFormatId="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8ACC5081-136B-4FA8-AC82-EF2927A10BF7}" autoFormatId="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7" xr16:uid="{F234E1E8-DDC6-41B2-BFBF-24BF0EAFBAE8}" autoFormatId="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6" xr16:uid="{613109B6-A40E-4227-806B-930B0CD34FD4}" autoFormatId="0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5" xr16:uid="{1C7D018F-7465-42F1-99AF-EA119FD8E249}" autoFormatId="0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4" xr16:uid="{84A6F211-4BBA-41E3-88C8-064840ACF3A5}" autoFormatId="0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3" xr16:uid="{078A9684-BF60-4238-A918-931A5CB10D64}" autoFormatId="0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" xr16:uid="{90946D55-1B10-4C0F-AB36-C0BBF4E45FE3}" autoFormatId="0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" xr16:uid="{C5698F16-3635-4B3A-A046-0D8C4FE0AFFC}" autoFormatId="0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6" xr16:uid="{0ABC12AA-8AAA-4E3F-82D1-3916236D79B6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10" Type="http://schemas.openxmlformats.org/officeDocument/2006/relationships/queryTable" Target="../queryTables/queryTable10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"/>
  <sheetViews>
    <sheetView topLeftCell="F1" workbookViewId="0">
      <selection activeCell="I36" sqref="I36"/>
    </sheetView>
  </sheetViews>
  <sheetFormatPr defaultRowHeight="14.4" x14ac:dyDescent="0.55000000000000004"/>
  <cols>
    <col min="1" max="1" width="5.15625" customWidth="1"/>
    <col min="2" max="2" width="14.15625" customWidth="1"/>
    <col min="3" max="3" width="12.41796875" customWidth="1"/>
    <col min="4" max="4" width="16.68359375" customWidth="1"/>
    <col min="5" max="5" width="12.41796875" customWidth="1"/>
    <col min="6" max="6" width="8.15625" customWidth="1"/>
    <col min="7" max="7" width="6.41796875" customWidth="1"/>
    <col min="8" max="8" width="13.578125" customWidth="1"/>
    <col min="9" max="9" width="14.15625" customWidth="1"/>
    <col min="10" max="10" width="7.41796875" customWidth="1"/>
    <col min="11" max="11" width="10.41796875" customWidth="1"/>
    <col min="13" max="13" width="11.15625" customWidth="1"/>
    <col min="14" max="14" width="11.68359375" customWidth="1"/>
    <col min="15" max="15" width="11" customWidth="1"/>
    <col min="16" max="16" width="8.26171875" customWidth="1"/>
    <col min="18" max="18" width="17.15625" customWidth="1"/>
    <col min="19" max="19" width="17.578125" customWidth="1"/>
    <col min="22" max="22" width="9" customWidth="1"/>
    <col min="23" max="24" width="9.68359375" customWidth="1"/>
    <col min="25" max="25" width="11.41796875" customWidth="1"/>
    <col min="27" max="27" width="7.15625" customWidth="1"/>
    <col min="28" max="28" width="7.83984375" customWidth="1"/>
    <col min="29" max="29" width="6.578125" customWidth="1"/>
  </cols>
  <sheetData>
    <row r="1" spans="1:29" x14ac:dyDescent="0.55000000000000004">
      <c r="A1" s="13" t="s">
        <v>4</v>
      </c>
      <c r="B1" s="13"/>
      <c r="C1" s="13"/>
      <c r="D1" s="13"/>
      <c r="E1" s="13"/>
      <c r="F1" s="14" t="s">
        <v>7</v>
      </c>
      <c r="G1" s="15"/>
      <c r="H1" s="15"/>
      <c r="I1" s="15"/>
      <c r="J1" s="16"/>
      <c r="K1" s="17" t="s">
        <v>11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9"/>
      <c r="Y1" s="12" t="s">
        <v>28</v>
      </c>
      <c r="Z1" s="12"/>
      <c r="AA1" s="12"/>
      <c r="AB1" s="12"/>
      <c r="AC1" s="12"/>
    </row>
    <row r="2" spans="1:29" x14ac:dyDescent="0.55000000000000004">
      <c r="A2" s="1" t="s">
        <v>0</v>
      </c>
      <c r="B2" s="1" t="s">
        <v>1</v>
      </c>
      <c r="C2" s="1" t="s">
        <v>2</v>
      </c>
      <c r="D2" s="1" t="s">
        <v>5</v>
      </c>
      <c r="E2" s="1" t="s">
        <v>6</v>
      </c>
      <c r="F2" s="1" t="s">
        <v>3</v>
      </c>
      <c r="G2" s="1" t="s">
        <v>10</v>
      </c>
      <c r="H2" s="1" t="s">
        <v>9</v>
      </c>
      <c r="I2" s="1" t="s">
        <v>8</v>
      </c>
      <c r="J2" s="1" t="s">
        <v>23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15</v>
      </c>
      <c r="P2" s="2" t="s">
        <v>16</v>
      </c>
      <c r="Q2" s="2" t="s">
        <v>12</v>
      </c>
      <c r="R2" s="2" t="s">
        <v>13</v>
      </c>
      <c r="S2" s="3" t="s">
        <v>14</v>
      </c>
      <c r="T2" s="3" t="s">
        <v>17</v>
      </c>
      <c r="U2" s="2" t="s">
        <v>18</v>
      </c>
      <c r="V2" s="2" t="s">
        <v>25</v>
      </c>
      <c r="W2" s="3" t="s">
        <v>26</v>
      </c>
      <c r="X2" s="3" t="s">
        <v>27</v>
      </c>
      <c r="Y2" s="2" t="s">
        <v>24</v>
      </c>
      <c r="Z2" s="2" t="s">
        <v>29</v>
      </c>
      <c r="AA2" s="2" t="s">
        <v>30</v>
      </c>
      <c r="AB2" s="2" t="s">
        <v>31</v>
      </c>
      <c r="AC2" s="2" t="s">
        <v>32</v>
      </c>
    </row>
  </sheetData>
  <mergeCells count="4">
    <mergeCell ref="Y1:AC1"/>
    <mergeCell ref="A1:E1"/>
    <mergeCell ref="F1:J1"/>
    <mergeCell ref="K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DB46-BD99-4F78-B8D3-245D9E8CAB01}">
  <sheetPr codeName="Sheet2"/>
  <dimension ref="A1:Z26"/>
  <sheetViews>
    <sheetView workbookViewId="0">
      <selection activeCell="F29" sqref="F29"/>
    </sheetView>
  </sheetViews>
  <sheetFormatPr defaultRowHeight="14.4" x14ac:dyDescent="0.55000000000000004"/>
  <cols>
    <col min="1" max="1" width="14.26171875" customWidth="1"/>
    <col min="2" max="2" width="15.15625" style="8" customWidth="1"/>
    <col min="3" max="3" width="16.68359375" customWidth="1"/>
    <col min="4" max="4" width="12.41796875" customWidth="1"/>
    <col min="5" max="5" width="19.578125" customWidth="1"/>
    <col min="6" max="6" width="14.15625" customWidth="1"/>
    <col min="7" max="7" width="18.26171875" customWidth="1"/>
    <col min="8" max="8" width="10.41796875" customWidth="1"/>
    <col min="10" max="10" width="11.15625" customWidth="1"/>
    <col min="11" max="11" width="11.68359375" customWidth="1"/>
    <col min="12" max="12" width="11" customWidth="1"/>
    <col min="13" max="13" width="8.26171875" customWidth="1"/>
    <col min="15" max="15" width="13.68359375" customWidth="1"/>
    <col min="16" max="16" width="21.26171875" customWidth="1"/>
    <col min="17" max="17" width="24.41796875" customWidth="1"/>
    <col min="18" max="18" width="18.68359375" customWidth="1"/>
    <col min="19" max="19" width="11.41796875" customWidth="1"/>
    <col min="21" max="21" width="7.15625" customWidth="1"/>
    <col min="22" max="22" width="7.83984375" customWidth="1"/>
    <col min="23" max="23" width="9.26171875" customWidth="1"/>
  </cols>
  <sheetData>
    <row r="1" spans="1:26" x14ac:dyDescent="0.55000000000000004">
      <c r="A1" s="14" t="s">
        <v>4</v>
      </c>
      <c r="B1" s="24"/>
      <c r="C1" s="24"/>
      <c r="D1" s="24"/>
      <c r="E1" s="24"/>
      <c r="F1" s="24"/>
      <c r="G1" s="24"/>
      <c r="H1" s="22" t="s">
        <v>11</v>
      </c>
      <c r="I1" s="23"/>
      <c r="J1" s="23"/>
      <c r="K1" s="23"/>
      <c r="L1" s="23"/>
      <c r="M1" s="23"/>
      <c r="N1" s="23"/>
      <c r="O1" s="23"/>
      <c r="P1" s="23"/>
      <c r="Q1" s="20" t="s">
        <v>28</v>
      </c>
      <c r="R1" s="21"/>
      <c r="S1" s="21"/>
      <c r="T1" s="21"/>
      <c r="U1" s="21"/>
      <c r="V1" s="21"/>
      <c r="W1" s="21"/>
      <c r="X1" s="21"/>
    </row>
    <row r="2" spans="1:26" x14ac:dyDescent="0.55000000000000004">
      <c r="A2" s="1" t="s">
        <v>0</v>
      </c>
      <c r="B2" s="9" t="s">
        <v>2</v>
      </c>
      <c r="C2" s="1" t="s">
        <v>5</v>
      </c>
      <c r="D2" s="1" t="s">
        <v>6</v>
      </c>
      <c r="E2" s="1" t="s">
        <v>10</v>
      </c>
      <c r="F2" s="1" t="s">
        <v>8</v>
      </c>
      <c r="G2" s="1" t="s">
        <v>23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15</v>
      </c>
      <c r="M2" s="7" t="s">
        <v>16</v>
      </c>
      <c r="N2" s="7" t="s">
        <v>12</v>
      </c>
      <c r="O2" s="7" t="s">
        <v>18</v>
      </c>
      <c r="P2" s="7" t="s">
        <v>40</v>
      </c>
      <c r="Q2" s="5" t="s">
        <v>39</v>
      </c>
      <c r="R2" s="5" t="s">
        <v>42</v>
      </c>
      <c r="S2" s="3" t="s">
        <v>24</v>
      </c>
      <c r="T2" s="3" t="s">
        <v>29</v>
      </c>
      <c r="U2" s="3" t="s">
        <v>43</v>
      </c>
      <c r="V2" s="3" t="s">
        <v>44</v>
      </c>
      <c r="W2" s="3" t="s">
        <v>45</v>
      </c>
      <c r="X2" s="6" t="s">
        <v>46</v>
      </c>
    </row>
    <row r="3" spans="1:26" ht="15.3" x14ac:dyDescent="0.55000000000000004">
      <c r="A3" s="26" t="str">
        <f>IF(temp_data!A1="","",temp_data!A1)</f>
        <v>CHG0239666</v>
      </c>
      <c r="B3" s="27"/>
      <c r="C3" s="26"/>
      <c r="D3" s="26"/>
      <c r="E3" s="26"/>
      <c r="F3" s="26" t="str">
        <f>IFERROR(_xlfn.XLOOKUP(A3,temp_data!A:A,temp_data!D:D,""),"")</f>
        <v>IFX_2.1.1</v>
      </c>
      <c r="G3" s="28"/>
      <c r="H3" s="29" t="str">
        <f>IFERROR(_xlfn.XLOOKUP(A3,temp_data!A:A,temp_data!E:E,""),"")</f>
        <v>24</v>
      </c>
      <c r="I3" s="29" t="str">
        <f>IFERROR(_xlfn.XLOOKUP(A3,temp_data!A:A,temp_data!F:F,""),"")</f>
        <v>576</v>
      </c>
      <c r="J3" s="29" t="str">
        <f>IFERROR(_xlfn.XLOOKUP(A3,temp_data!A:A,temp_data!G:G,""),"")</f>
        <v>32</v>
      </c>
      <c r="K3" s="29" t="str">
        <f>IFERROR(_xlfn.XLOOKUP(A3,temp_data!A:A,temp_data!H:H,""),"")</f>
        <v>768</v>
      </c>
      <c r="L3" s="29" t="str">
        <f>IFERROR(_xlfn.XLOOKUP(A3,temp_data!A:A,temp_data!I:I,""),"")</f>
        <v>6.54</v>
      </c>
      <c r="M3" s="29" t="str">
        <f>IFERROR(_xlfn.XLOOKUP(A3,temp_data!A:A,temp_data!J:J,""),"")</f>
        <v>20.25</v>
      </c>
      <c r="N3" s="29" t="str">
        <f>IFERROR(_xlfn.XLOOKUP(A3,temp_data!A:A,temp_data!K:K,""),"")</f>
        <v>26.79</v>
      </c>
      <c r="O3" s="29" t="str">
        <f>IFERROR(_xlfn.XLOOKUP(A3,temp_data!A:A,temp_data!B:B,""),"")</f>
        <v>30</v>
      </c>
      <c r="P3" s="30" t="str">
        <f>IFERROR(_xlfn.XLOOKUP(A3,temp_data!A:A,temp_data!C:C,""),"")</f>
        <v>29.49</v>
      </c>
      <c r="Q3" s="30" t="str">
        <f>IFERROR(_xlfn.XLOOKUP(A3,temp_data!A:A,temp_data!L:L,""),"")</f>
        <v>884.751</v>
      </c>
      <c r="R3" s="30" t="str">
        <f>IFERROR(_xlfn.XLOOKUP(A3,temp_data!A:A,temp_data!N:N,""),"")</f>
        <v>4.33</v>
      </c>
      <c r="S3" s="29" t="str">
        <f>IFERROR(_xlfn.XLOOKUP(A3,temp_data!A:A,temp_data!M:M,""),"")</f>
        <v>204.20</v>
      </c>
      <c r="T3" s="29" t="str">
        <f>IFERROR(_xlfn.XLOOKUP(A3,temp_data!A:A,temp_data!O:O,""),"")</f>
        <v>96143</v>
      </c>
      <c r="U3" s="30" t="str">
        <f>IFERROR(_xlfn.XLOOKUP(A3,temp_data!A:A,temp_data!P:P,""),"")</f>
        <v>152</v>
      </c>
      <c r="V3" s="30" t="str">
        <f>IFERROR(_xlfn.XLOOKUP(A3,temp_data!A:A,temp_data!Q:Q,""),"")</f>
        <v>11462</v>
      </c>
      <c r="W3" s="30" t="str">
        <f>IFERROR(_xlfn.XLOOKUP(A3,temp_data!A:A,temp_data!R:R,""),"")</f>
        <v>91818</v>
      </c>
      <c r="X3" s="30" t="str">
        <f>IFERROR(_xlfn.XLOOKUP(A3,temp_data!A:A,temp_data!S:S,""),"")</f>
        <v>199575</v>
      </c>
      <c r="Y3" s="29"/>
      <c r="Z3" s="29"/>
    </row>
    <row r="4" spans="1:26" ht="15.3" x14ac:dyDescent="0.55000000000000004">
      <c r="A4" s="26" t="str">
        <f>IF(temp_data!A2="","",temp_data!A2)</f>
        <v/>
      </c>
      <c r="B4" s="27"/>
      <c r="C4" s="26"/>
      <c r="D4" s="26"/>
      <c r="E4" s="26"/>
      <c r="F4" s="26" t="str">
        <f>IFERROR(_xlfn.XLOOKUP(A4,temp_data!A:A,temp_data!D:D,""),"")</f>
        <v/>
      </c>
      <c r="G4" s="28"/>
      <c r="H4" s="29" t="str">
        <f>IFERROR(_xlfn.XLOOKUP(A4,temp_data!A:A,temp_data!E:E,""),"")</f>
        <v/>
      </c>
      <c r="I4" s="29" t="str">
        <f>IFERROR(_xlfn.XLOOKUP(A4,temp_data!A:A,temp_data!F:F,""),"")</f>
        <v/>
      </c>
      <c r="J4" s="29" t="str">
        <f>IFERROR(_xlfn.XLOOKUP(A4,temp_data!A:A,temp_data!G:G,""),"")</f>
        <v/>
      </c>
      <c r="K4" s="29" t="str">
        <f>IFERROR(_xlfn.XLOOKUP(A4,temp_data!A:A,temp_data!H:H,""),"")</f>
        <v/>
      </c>
      <c r="L4" s="29" t="str">
        <f>IFERROR(_xlfn.XLOOKUP(A4,temp_data!A:A,temp_data!I:I,""),"")</f>
        <v/>
      </c>
      <c r="M4" s="29" t="str">
        <f>IFERROR(_xlfn.XLOOKUP(A4,temp_data!A:A,temp_data!J:J,""),"")</f>
        <v/>
      </c>
      <c r="N4" s="29" t="str">
        <f>IFERROR(_xlfn.XLOOKUP(A4,temp_data!A:A,temp_data!K:K,""),"")</f>
        <v/>
      </c>
      <c r="O4" s="29" t="str">
        <f>IFERROR(_xlfn.XLOOKUP(A4,temp_data!A:A,temp_data!B:B,""),"")</f>
        <v/>
      </c>
      <c r="P4" s="30" t="str">
        <f>IFERROR(_xlfn.XLOOKUP(A4,temp_data!A:A,temp_data!C:C,""),"")</f>
        <v/>
      </c>
      <c r="Q4" s="30" t="str">
        <f>IFERROR(_xlfn.XLOOKUP(A4,temp_data!A:A,temp_data!L:L,""),"")</f>
        <v/>
      </c>
      <c r="R4" s="30" t="str">
        <f>IFERROR(_xlfn.XLOOKUP(A4,temp_data!A:A,temp_data!N:N,""),"")</f>
        <v/>
      </c>
      <c r="S4" s="29" t="str">
        <f>IFERROR(_xlfn.XLOOKUP(A4,temp_data!A:A,temp_data!M:M,""),"")</f>
        <v/>
      </c>
      <c r="T4" s="29" t="str">
        <f>IFERROR(_xlfn.XLOOKUP(A4,temp_data!A:A,temp_data!O:O,""),"")</f>
        <v/>
      </c>
      <c r="U4" s="30" t="str">
        <f>IFERROR(_xlfn.XLOOKUP(A4,temp_data!A:A,temp_data!P:P,""),"")</f>
        <v/>
      </c>
      <c r="V4" s="30" t="str">
        <f>IFERROR(_xlfn.XLOOKUP(A4,temp_data!A:A,temp_data!Q:Q,""),"")</f>
        <v/>
      </c>
      <c r="W4" s="30" t="str">
        <f>IFERROR(_xlfn.XLOOKUP(A4,temp_data!A:A,temp_data!R:R,""),"")</f>
        <v/>
      </c>
      <c r="X4" s="30" t="str">
        <f>IFERROR(_xlfn.XLOOKUP(A4,temp_data!A:A,temp_data!S:S,""),"")</f>
        <v/>
      </c>
      <c r="Y4" s="29"/>
      <c r="Z4" s="29"/>
    </row>
    <row r="5" spans="1:26" ht="15.3" x14ac:dyDescent="0.55000000000000004">
      <c r="A5" s="26" t="str">
        <f>IF(temp_data!A3="","",temp_data!A3)</f>
        <v/>
      </c>
      <c r="B5" s="27"/>
      <c r="C5" s="26"/>
      <c r="D5" s="26"/>
      <c r="E5" s="26"/>
      <c r="F5" s="26" t="str">
        <f>IFERROR(_xlfn.XLOOKUP(A5,temp_data!A:A,temp_data!D:D,""),"")</f>
        <v/>
      </c>
      <c r="G5" s="28"/>
      <c r="H5" s="29" t="str">
        <f>IFERROR(_xlfn.XLOOKUP(A5,temp_data!A:A,temp_data!E:E,""),"")</f>
        <v/>
      </c>
      <c r="I5" s="29" t="str">
        <f>IFERROR(_xlfn.XLOOKUP(A5,temp_data!A:A,temp_data!F:F,""),"")</f>
        <v/>
      </c>
      <c r="J5" s="29" t="str">
        <f>IFERROR(_xlfn.XLOOKUP(A5,temp_data!A:A,temp_data!G:G,""),"")</f>
        <v/>
      </c>
      <c r="K5" s="29" t="str">
        <f>IFERROR(_xlfn.XLOOKUP(A5,temp_data!A:A,temp_data!H:H,""),"")</f>
        <v/>
      </c>
      <c r="L5" s="29" t="str">
        <f>IFERROR(_xlfn.XLOOKUP(A5,temp_data!A:A,temp_data!I:I,""),"")</f>
        <v/>
      </c>
      <c r="M5" s="29" t="str">
        <f>IFERROR(_xlfn.XLOOKUP(A5,temp_data!A:A,temp_data!J:J,""),"")</f>
        <v/>
      </c>
      <c r="N5" s="29" t="str">
        <f>IFERROR(_xlfn.XLOOKUP(A5,temp_data!A:A,temp_data!K:K,""),"")</f>
        <v/>
      </c>
      <c r="O5" s="29" t="str">
        <f>IFERROR(_xlfn.XLOOKUP(A5,temp_data!A:A,temp_data!B:B,""),"")</f>
        <v/>
      </c>
      <c r="P5" s="30" t="str">
        <f>IFERROR(_xlfn.XLOOKUP(A5,temp_data!A:A,temp_data!C:C,""),"")</f>
        <v/>
      </c>
      <c r="Q5" s="30" t="str">
        <f>IFERROR(_xlfn.XLOOKUP(A5,temp_data!A:A,temp_data!L:L,""),"")</f>
        <v/>
      </c>
      <c r="R5" s="30" t="str">
        <f>IFERROR(_xlfn.XLOOKUP(A5,temp_data!A:A,temp_data!N:N,""),"")</f>
        <v/>
      </c>
      <c r="S5" s="29" t="str">
        <f>IFERROR(_xlfn.XLOOKUP(A5,temp_data!A:A,temp_data!M:M,""),"")</f>
        <v/>
      </c>
      <c r="T5" s="29" t="str">
        <f>IFERROR(_xlfn.XLOOKUP(A5,temp_data!A:A,temp_data!O:O,""),"")</f>
        <v/>
      </c>
      <c r="U5" s="30" t="str">
        <f>IFERROR(_xlfn.XLOOKUP(A5,temp_data!A:A,temp_data!P:P,""),"")</f>
        <v/>
      </c>
      <c r="V5" s="30" t="str">
        <f>IFERROR(_xlfn.XLOOKUP(A5,temp_data!A:A,temp_data!Q:Q,""),"")</f>
        <v/>
      </c>
      <c r="W5" s="30" t="str">
        <f>IFERROR(_xlfn.XLOOKUP(A5,temp_data!A:A,temp_data!R:R,""),"")</f>
        <v/>
      </c>
      <c r="X5" s="30" t="str">
        <f>IFERROR(_xlfn.XLOOKUP(A5,temp_data!A:A,temp_data!S:S,""),"")</f>
        <v/>
      </c>
      <c r="Y5" s="29"/>
      <c r="Z5" s="29"/>
    </row>
    <row r="6" spans="1:26" ht="15.3" x14ac:dyDescent="0.55000000000000004">
      <c r="A6" s="26" t="str">
        <f>IF(temp_data!A4="","",temp_data!A4)</f>
        <v/>
      </c>
      <c r="B6" s="27"/>
      <c r="C6" s="26"/>
      <c r="D6" s="26"/>
      <c r="E6" s="26"/>
      <c r="F6" s="26" t="str">
        <f>IFERROR(_xlfn.XLOOKUP(A6,temp_data!A:A,temp_data!D:D,""),"")</f>
        <v/>
      </c>
      <c r="G6" s="28"/>
      <c r="H6" s="29" t="str">
        <f>IFERROR(_xlfn.XLOOKUP(A6,temp_data!A:A,temp_data!E:E,""),"")</f>
        <v/>
      </c>
      <c r="I6" s="29" t="str">
        <f>IFERROR(_xlfn.XLOOKUP(A6,temp_data!A:A,temp_data!F:F,""),"")</f>
        <v/>
      </c>
      <c r="J6" s="29" t="str">
        <f>IFERROR(_xlfn.XLOOKUP(A6,temp_data!A:A,temp_data!G:G,""),"")</f>
        <v/>
      </c>
      <c r="K6" s="29" t="str">
        <f>IFERROR(_xlfn.XLOOKUP(A6,temp_data!A:A,temp_data!H:H,""),"")</f>
        <v/>
      </c>
      <c r="L6" s="29" t="str">
        <f>IFERROR(_xlfn.XLOOKUP(A6,temp_data!A:A,temp_data!I:I,""),"")</f>
        <v/>
      </c>
      <c r="M6" s="29" t="str">
        <f>IFERROR(_xlfn.XLOOKUP(A6,temp_data!A:A,temp_data!J:J,""),"")</f>
        <v/>
      </c>
      <c r="N6" s="29" t="str">
        <f>IFERROR(_xlfn.XLOOKUP(A6,temp_data!A:A,temp_data!K:K,""),"")</f>
        <v/>
      </c>
      <c r="O6" s="29" t="str">
        <f>IFERROR(_xlfn.XLOOKUP(A6,temp_data!A:A,temp_data!B:B,""),"")</f>
        <v/>
      </c>
      <c r="P6" s="30" t="str">
        <f>IFERROR(_xlfn.XLOOKUP(A6,temp_data!A:A,temp_data!C:C,""),"")</f>
        <v/>
      </c>
      <c r="Q6" s="30" t="str">
        <f>IFERROR(_xlfn.XLOOKUP(A6,temp_data!A:A,temp_data!L:L,""),"")</f>
        <v/>
      </c>
      <c r="R6" s="30" t="str">
        <f>IFERROR(_xlfn.XLOOKUP(A6,temp_data!A:A,temp_data!N:N,""),"")</f>
        <v/>
      </c>
      <c r="S6" s="29" t="str">
        <f>IFERROR(_xlfn.XLOOKUP(A6,temp_data!A:A,temp_data!M:M,""),"")</f>
        <v/>
      </c>
      <c r="T6" s="29" t="str">
        <f>IFERROR(_xlfn.XLOOKUP(A6,temp_data!A:A,temp_data!O:O,""),"")</f>
        <v/>
      </c>
      <c r="U6" s="30" t="str">
        <f>IFERROR(_xlfn.XLOOKUP(A6,temp_data!A:A,temp_data!P:P,""),"")</f>
        <v/>
      </c>
      <c r="V6" s="30" t="str">
        <f>IFERROR(_xlfn.XLOOKUP(A6,temp_data!A:A,temp_data!Q:Q,""),"")</f>
        <v/>
      </c>
      <c r="W6" s="30" t="str">
        <f>IFERROR(_xlfn.XLOOKUP(A6,temp_data!A:A,temp_data!R:R,""),"")</f>
        <v/>
      </c>
      <c r="X6" s="30" t="str">
        <f>IFERROR(_xlfn.XLOOKUP(A6,temp_data!A:A,temp_data!S:S,""),"")</f>
        <v/>
      </c>
      <c r="Y6" s="29"/>
      <c r="Z6" s="29"/>
    </row>
    <row r="7" spans="1:26" ht="15.3" x14ac:dyDescent="0.55000000000000004">
      <c r="A7" s="26" t="str">
        <f>IF(temp_data!A5="","",temp_data!A5)</f>
        <v/>
      </c>
      <c r="B7" s="27"/>
      <c r="C7" s="26"/>
      <c r="D7" s="26"/>
      <c r="E7" s="26"/>
      <c r="F7" s="26" t="str">
        <f>IFERROR(_xlfn.XLOOKUP(A7,temp_data!A:A,temp_data!D:D,""),"")</f>
        <v/>
      </c>
      <c r="G7" s="28"/>
      <c r="H7" s="29" t="str">
        <f>IFERROR(_xlfn.XLOOKUP(A7,temp_data!A:A,temp_data!E:E,""),"")</f>
        <v/>
      </c>
      <c r="I7" s="29" t="str">
        <f>IFERROR(_xlfn.XLOOKUP(A7,temp_data!A:A,temp_data!F:F,""),"")</f>
        <v/>
      </c>
      <c r="J7" s="29" t="str">
        <f>IFERROR(_xlfn.XLOOKUP(A7,temp_data!A:A,temp_data!G:G,""),"")</f>
        <v/>
      </c>
      <c r="K7" s="29" t="str">
        <f>IFERROR(_xlfn.XLOOKUP(A7,temp_data!A:A,temp_data!H:H,""),"")</f>
        <v/>
      </c>
      <c r="L7" s="29" t="str">
        <f>IFERROR(_xlfn.XLOOKUP(A7,temp_data!A:A,temp_data!I:I,""),"")</f>
        <v/>
      </c>
      <c r="M7" s="29" t="str">
        <f>IFERROR(_xlfn.XLOOKUP(A7,temp_data!A:A,temp_data!J:J,""),"")</f>
        <v/>
      </c>
      <c r="N7" s="29" t="str">
        <f>IFERROR(_xlfn.XLOOKUP(A7,temp_data!A:A,temp_data!K:K,""),"")</f>
        <v/>
      </c>
      <c r="O7" s="29" t="str">
        <f>IFERROR(_xlfn.XLOOKUP(A7,temp_data!A:A,temp_data!B:B,""),"")</f>
        <v/>
      </c>
      <c r="P7" s="30" t="str">
        <f>IFERROR(_xlfn.XLOOKUP(A7,temp_data!A:A,temp_data!C:C,""),"")</f>
        <v/>
      </c>
      <c r="Q7" s="30" t="str">
        <f>IFERROR(_xlfn.XLOOKUP(A7,temp_data!A:A,temp_data!L:L,""),"")</f>
        <v/>
      </c>
      <c r="R7" s="30" t="str">
        <f>IFERROR(_xlfn.XLOOKUP(A7,temp_data!A:A,temp_data!N:N,""),"")</f>
        <v/>
      </c>
      <c r="S7" s="29" t="str">
        <f>IFERROR(_xlfn.XLOOKUP(A7,temp_data!A:A,temp_data!M:M,""),"")</f>
        <v/>
      </c>
      <c r="T7" s="29" t="str">
        <f>IFERROR(_xlfn.XLOOKUP(A7,temp_data!A:A,temp_data!O:O,""),"")</f>
        <v/>
      </c>
      <c r="U7" s="30" t="str">
        <f>IFERROR(_xlfn.XLOOKUP(A7,temp_data!A:A,temp_data!P:P,""),"")</f>
        <v/>
      </c>
      <c r="V7" s="30" t="str">
        <f>IFERROR(_xlfn.XLOOKUP(A7,temp_data!A:A,temp_data!Q:Q,""),"")</f>
        <v/>
      </c>
      <c r="W7" s="30" t="str">
        <f>IFERROR(_xlfn.XLOOKUP(A7,temp_data!A:A,temp_data!R:R,""),"")</f>
        <v/>
      </c>
      <c r="X7" s="30" t="str">
        <f>IFERROR(_xlfn.XLOOKUP(A7,temp_data!A:A,temp_data!S:S,""),"")</f>
        <v/>
      </c>
      <c r="Y7" s="29"/>
      <c r="Z7" s="29"/>
    </row>
    <row r="8" spans="1:26" ht="15.3" x14ac:dyDescent="0.55000000000000004">
      <c r="A8" s="26" t="str">
        <f>IF(temp_data!A6="","",temp_data!A6)</f>
        <v/>
      </c>
      <c r="B8" s="27"/>
      <c r="C8" s="26"/>
      <c r="D8" s="26"/>
      <c r="E8" s="26"/>
      <c r="F8" s="26" t="str">
        <f>IFERROR(_xlfn.XLOOKUP(A8,temp_data!A:A,temp_data!D:D,""),"")</f>
        <v/>
      </c>
      <c r="G8" s="28"/>
      <c r="H8" s="29" t="str">
        <f>IFERROR(_xlfn.XLOOKUP(A8,temp_data!A:A,temp_data!E:E,""),"")</f>
        <v/>
      </c>
      <c r="I8" s="29" t="str">
        <f>IFERROR(_xlfn.XLOOKUP(A8,temp_data!A:A,temp_data!F:F,""),"")</f>
        <v/>
      </c>
      <c r="J8" s="29" t="str">
        <f>IFERROR(_xlfn.XLOOKUP(A8,temp_data!A:A,temp_data!G:G,""),"")</f>
        <v/>
      </c>
      <c r="K8" s="29" t="str">
        <f>IFERROR(_xlfn.XLOOKUP(A8,temp_data!A:A,temp_data!H:H,""),"")</f>
        <v/>
      </c>
      <c r="L8" s="29" t="str">
        <f>IFERROR(_xlfn.XLOOKUP(A8,temp_data!A:A,temp_data!I:I,""),"")</f>
        <v/>
      </c>
      <c r="M8" s="29" t="str">
        <f>IFERROR(_xlfn.XLOOKUP(A8,temp_data!A:A,temp_data!J:J,""),"")</f>
        <v/>
      </c>
      <c r="N8" s="29" t="str">
        <f>IFERROR(_xlfn.XLOOKUP(A8,temp_data!A:A,temp_data!K:K,""),"")</f>
        <v/>
      </c>
      <c r="O8" s="29" t="str">
        <f>IFERROR(_xlfn.XLOOKUP(A8,temp_data!A:A,temp_data!B:B,""),"")</f>
        <v/>
      </c>
      <c r="P8" s="30" t="str">
        <f>IFERROR(_xlfn.XLOOKUP(A8,temp_data!A:A,temp_data!C:C,""),"")</f>
        <v/>
      </c>
      <c r="Q8" s="30" t="str">
        <f>IFERROR(_xlfn.XLOOKUP(A8,temp_data!A:A,temp_data!L:L,""),"")</f>
        <v/>
      </c>
      <c r="R8" s="30" t="str">
        <f>IFERROR(_xlfn.XLOOKUP(A8,temp_data!A:A,temp_data!N:N,""),"")</f>
        <v/>
      </c>
      <c r="S8" s="29" t="str">
        <f>IFERROR(_xlfn.XLOOKUP(A8,temp_data!A:A,temp_data!M:M,""),"")</f>
        <v/>
      </c>
      <c r="T8" s="29" t="str">
        <f>IFERROR(_xlfn.XLOOKUP(A8,temp_data!A:A,temp_data!O:O,""),"")</f>
        <v/>
      </c>
      <c r="U8" s="30" t="str">
        <f>IFERROR(_xlfn.XLOOKUP(A8,temp_data!A:A,temp_data!P:P,""),"")</f>
        <v/>
      </c>
      <c r="V8" s="30" t="str">
        <f>IFERROR(_xlfn.XLOOKUP(A8,temp_data!A:A,temp_data!Q:Q,""),"")</f>
        <v/>
      </c>
      <c r="W8" s="30" t="str">
        <f>IFERROR(_xlfn.XLOOKUP(A8,temp_data!A:A,temp_data!R:R,""),"")</f>
        <v/>
      </c>
      <c r="X8" s="30" t="str">
        <f>IFERROR(_xlfn.XLOOKUP(A8,temp_data!A:A,temp_data!S:S,""),"")</f>
        <v/>
      </c>
      <c r="Y8" s="29"/>
      <c r="Z8" s="29"/>
    </row>
    <row r="9" spans="1:26" ht="15.3" x14ac:dyDescent="0.55000000000000004">
      <c r="A9" s="26" t="str">
        <f>IF(temp_data!A7="","",temp_data!A7)</f>
        <v/>
      </c>
      <c r="B9" s="27"/>
      <c r="C9" s="26"/>
      <c r="D9" s="26"/>
      <c r="E9" s="26"/>
      <c r="F9" s="26" t="str">
        <f>IFERROR(_xlfn.XLOOKUP(A9,temp_data!A:A,temp_data!D:D,""),"")</f>
        <v/>
      </c>
      <c r="G9" s="28"/>
      <c r="H9" s="29" t="str">
        <f>IFERROR(_xlfn.XLOOKUP(A9,temp_data!A:A,temp_data!E:E,""),"")</f>
        <v/>
      </c>
      <c r="I9" s="29" t="str">
        <f>IFERROR(_xlfn.XLOOKUP(A9,temp_data!A:A,temp_data!F:F,""),"")</f>
        <v/>
      </c>
      <c r="J9" s="29" t="str">
        <f>IFERROR(_xlfn.XLOOKUP(A9,temp_data!A:A,temp_data!G:G,""),"")</f>
        <v/>
      </c>
      <c r="K9" s="29" t="str">
        <f>IFERROR(_xlfn.XLOOKUP(A9,temp_data!A:A,temp_data!H:H,""),"")</f>
        <v/>
      </c>
      <c r="L9" s="29" t="str">
        <f>IFERROR(_xlfn.XLOOKUP(A9,temp_data!A:A,temp_data!I:I,""),"")</f>
        <v/>
      </c>
      <c r="M9" s="29" t="str">
        <f>IFERROR(_xlfn.XLOOKUP(A9,temp_data!A:A,temp_data!J:J,""),"")</f>
        <v/>
      </c>
      <c r="N9" s="29" t="str">
        <f>IFERROR(_xlfn.XLOOKUP(A9,temp_data!A:A,temp_data!K:K,""),"")</f>
        <v/>
      </c>
      <c r="O9" s="29" t="str">
        <f>IFERROR(_xlfn.XLOOKUP(A9,temp_data!A:A,temp_data!B:B,""),"")</f>
        <v/>
      </c>
      <c r="P9" s="30" t="str">
        <f>IFERROR(_xlfn.XLOOKUP(A9,temp_data!A:A,temp_data!C:C,""),"")</f>
        <v/>
      </c>
      <c r="Q9" s="30" t="str">
        <f>IFERROR(_xlfn.XLOOKUP(A9,temp_data!A:A,temp_data!L:L,""),"")</f>
        <v/>
      </c>
      <c r="R9" s="30" t="str">
        <f>IFERROR(_xlfn.XLOOKUP(A9,temp_data!A:A,temp_data!N:N,""),"")</f>
        <v/>
      </c>
      <c r="S9" s="29" t="str">
        <f>IFERROR(_xlfn.XLOOKUP(A9,temp_data!A:A,temp_data!M:M,""),"")</f>
        <v/>
      </c>
      <c r="T9" s="29" t="str">
        <f>IFERROR(_xlfn.XLOOKUP(A9,temp_data!A:A,temp_data!O:O,""),"")</f>
        <v/>
      </c>
      <c r="U9" s="30" t="str">
        <f>IFERROR(_xlfn.XLOOKUP(A9,temp_data!A:A,temp_data!P:P,""),"")</f>
        <v/>
      </c>
      <c r="V9" s="30" t="str">
        <f>IFERROR(_xlfn.XLOOKUP(A9,temp_data!A:A,temp_data!Q:Q,""),"")</f>
        <v/>
      </c>
      <c r="W9" s="30" t="str">
        <f>IFERROR(_xlfn.XLOOKUP(A9,temp_data!A:A,temp_data!R:R,""),"")</f>
        <v/>
      </c>
      <c r="X9" s="30" t="str">
        <f>IFERROR(_xlfn.XLOOKUP(A9,temp_data!A:A,temp_data!S:S,""),"")</f>
        <v/>
      </c>
      <c r="Y9" s="29"/>
      <c r="Z9" s="29"/>
    </row>
    <row r="10" spans="1:26" ht="15.3" x14ac:dyDescent="0.55000000000000004">
      <c r="A10" s="26" t="str">
        <f>IF(temp_data!A8="","",temp_data!A8)</f>
        <v/>
      </c>
      <c r="B10" s="27"/>
      <c r="C10" s="26"/>
      <c r="D10" s="26"/>
      <c r="E10" s="26"/>
      <c r="F10" s="26" t="str">
        <f>IFERROR(_xlfn.XLOOKUP(A10,temp_data!A:A,temp_data!D:D,""),"")</f>
        <v/>
      </c>
      <c r="G10" s="28"/>
      <c r="H10" s="29" t="str">
        <f>IFERROR(_xlfn.XLOOKUP(A10,temp_data!A:A,temp_data!E:E,""),"")</f>
        <v/>
      </c>
      <c r="I10" s="29" t="str">
        <f>IFERROR(_xlfn.XLOOKUP(A10,temp_data!A:A,temp_data!F:F,""),"")</f>
        <v/>
      </c>
      <c r="J10" s="29" t="str">
        <f>IFERROR(_xlfn.XLOOKUP(A10,temp_data!A:A,temp_data!G:G,""),"")</f>
        <v/>
      </c>
      <c r="K10" s="29" t="str">
        <f>IFERROR(_xlfn.XLOOKUP(A10,temp_data!A:A,temp_data!H:H,""),"")</f>
        <v/>
      </c>
      <c r="L10" s="29" t="str">
        <f>IFERROR(_xlfn.XLOOKUP(A10,temp_data!A:A,temp_data!I:I,""),"")</f>
        <v/>
      </c>
      <c r="M10" s="29" t="str">
        <f>IFERROR(_xlfn.XLOOKUP(A10,temp_data!A:A,temp_data!J:J,""),"")</f>
        <v/>
      </c>
      <c r="N10" s="29" t="str">
        <f>IFERROR(_xlfn.XLOOKUP(A10,temp_data!A:A,temp_data!K:K,""),"")</f>
        <v/>
      </c>
      <c r="O10" s="29" t="str">
        <f>IFERROR(_xlfn.XLOOKUP(A10,temp_data!A:A,temp_data!B:B,""),"")</f>
        <v/>
      </c>
      <c r="P10" s="30" t="str">
        <f>IFERROR(_xlfn.XLOOKUP(A10,temp_data!A:A,temp_data!C:C,""),"")</f>
        <v/>
      </c>
      <c r="Q10" s="30" t="str">
        <f>IFERROR(_xlfn.XLOOKUP(A10,temp_data!A:A,temp_data!L:L,""),"")</f>
        <v/>
      </c>
      <c r="R10" s="30" t="str">
        <f>IFERROR(_xlfn.XLOOKUP(A10,temp_data!A:A,temp_data!N:N,""),"")</f>
        <v/>
      </c>
      <c r="S10" s="29" t="str">
        <f>IFERROR(_xlfn.XLOOKUP(A10,temp_data!A:A,temp_data!M:M,""),"")</f>
        <v/>
      </c>
      <c r="T10" s="29" t="str">
        <f>IFERROR(_xlfn.XLOOKUP(A10,temp_data!A:A,temp_data!O:O,""),"")</f>
        <v/>
      </c>
      <c r="U10" s="30" t="str">
        <f>IFERROR(_xlfn.XLOOKUP(A10,temp_data!A:A,temp_data!P:P,""),"")</f>
        <v/>
      </c>
      <c r="V10" s="30" t="str">
        <f>IFERROR(_xlfn.XLOOKUP(A10,temp_data!A:A,temp_data!Q:Q,""),"")</f>
        <v/>
      </c>
      <c r="W10" s="30" t="str">
        <f>IFERROR(_xlfn.XLOOKUP(A10,temp_data!A:A,temp_data!R:R,""),"")</f>
        <v/>
      </c>
      <c r="X10" s="30" t="str">
        <f>IFERROR(_xlfn.XLOOKUP(A10,temp_data!A:A,temp_data!S:S,""),"")</f>
        <v/>
      </c>
      <c r="Y10" s="29"/>
      <c r="Z10" s="29"/>
    </row>
    <row r="11" spans="1:26" ht="15.3" x14ac:dyDescent="0.55000000000000004">
      <c r="A11" s="26" t="str">
        <f>IF(temp_data!A9="","",temp_data!A9)</f>
        <v/>
      </c>
      <c r="B11" s="27"/>
      <c r="C11" s="26"/>
      <c r="D11" s="26"/>
      <c r="E11" s="26"/>
      <c r="F11" s="26" t="str">
        <f>IFERROR(_xlfn.XLOOKUP(A11,temp_data!A:A,temp_data!D:D,""),"")</f>
        <v/>
      </c>
      <c r="G11" s="28"/>
      <c r="H11" s="29" t="str">
        <f>IFERROR(_xlfn.XLOOKUP(A11,temp_data!A:A,temp_data!E:E,""),"")</f>
        <v/>
      </c>
      <c r="I11" s="29" t="str">
        <f>IFERROR(_xlfn.XLOOKUP(A11,temp_data!A:A,temp_data!F:F,""),"")</f>
        <v/>
      </c>
      <c r="J11" s="29" t="str">
        <f>IFERROR(_xlfn.XLOOKUP(A11,temp_data!A:A,temp_data!G:G,""),"")</f>
        <v/>
      </c>
      <c r="K11" s="29" t="str">
        <f>IFERROR(_xlfn.XLOOKUP(A11,temp_data!A:A,temp_data!H:H,""),"")</f>
        <v/>
      </c>
      <c r="L11" s="29" t="str">
        <f>IFERROR(_xlfn.XLOOKUP(A11,temp_data!A:A,temp_data!I:I,""),"")</f>
        <v/>
      </c>
      <c r="M11" s="29" t="str">
        <f>IFERROR(_xlfn.XLOOKUP(A11,temp_data!A:A,temp_data!J:J,""),"")</f>
        <v/>
      </c>
      <c r="N11" s="29" t="str">
        <f>IFERROR(_xlfn.XLOOKUP(A11,temp_data!A:A,temp_data!K:K,""),"")</f>
        <v/>
      </c>
      <c r="O11" s="29" t="str">
        <f>IFERROR(_xlfn.XLOOKUP(A11,temp_data!A:A,temp_data!B:B,""),"")</f>
        <v/>
      </c>
      <c r="P11" s="30" t="str">
        <f>IFERROR(_xlfn.XLOOKUP(A11,temp_data!A:A,temp_data!C:C,""),"")</f>
        <v/>
      </c>
      <c r="Q11" s="30" t="str">
        <f>IFERROR(_xlfn.XLOOKUP(A11,temp_data!A:A,temp_data!L:L,""),"")</f>
        <v/>
      </c>
      <c r="R11" s="30" t="str">
        <f>IFERROR(_xlfn.XLOOKUP(A11,temp_data!A:A,temp_data!N:N,""),"")</f>
        <v/>
      </c>
      <c r="S11" s="29" t="str">
        <f>IFERROR(_xlfn.XLOOKUP(A11,temp_data!A:A,temp_data!M:M,""),"")</f>
        <v/>
      </c>
      <c r="T11" s="29" t="str">
        <f>IFERROR(_xlfn.XLOOKUP(A11,temp_data!A:A,temp_data!O:O,""),"")</f>
        <v/>
      </c>
      <c r="U11" s="30" t="str">
        <f>IFERROR(_xlfn.XLOOKUP(A11,temp_data!A:A,temp_data!P:P,""),"")</f>
        <v/>
      </c>
      <c r="V11" s="30" t="str">
        <f>IFERROR(_xlfn.XLOOKUP(A11,temp_data!A:A,temp_data!Q:Q,""),"")</f>
        <v/>
      </c>
      <c r="W11" s="30" t="str">
        <f>IFERROR(_xlfn.XLOOKUP(A11,temp_data!A:A,temp_data!R:R,""),"")</f>
        <v/>
      </c>
      <c r="X11" s="30" t="str">
        <f>IFERROR(_xlfn.XLOOKUP(A11,temp_data!A:A,temp_data!S:S,""),"")</f>
        <v/>
      </c>
      <c r="Y11" s="29"/>
      <c r="Z11" s="29"/>
    </row>
    <row r="12" spans="1:26" ht="15.3" x14ac:dyDescent="0.55000000000000004">
      <c r="A12" s="26" t="str">
        <f>IF(temp_data!A10="","",temp_data!A10)</f>
        <v/>
      </c>
      <c r="B12" s="27"/>
      <c r="C12" s="26"/>
      <c r="D12" s="26"/>
      <c r="E12" s="26"/>
      <c r="F12" s="26" t="str">
        <f>IFERROR(_xlfn.XLOOKUP(A12,temp_data!A:A,temp_data!D:D,""),"")</f>
        <v/>
      </c>
      <c r="G12" s="28"/>
      <c r="H12" s="29" t="str">
        <f>IFERROR(_xlfn.XLOOKUP(A12,temp_data!A:A,temp_data!E:E,""),"")</f>
        <v/>
      </c>
      <c r="I12" s="29" t="str">
        <f>IFERROR(_xlfn.XLOOKUP(A12,temp_data!A:A,temp_data!F:F,""),"")</f>
        <v/>
      </c>
      <c r="J12" s="29" t="str">
        <f>IFERROR(_xlfn.XLOOKUP(A12,temp_data!A:A,temp_data!G:G,""),"")</f>
        <v/>
      </c>
      <c r="K12" s="29" t="str">
        <f>IFERROR(_xlfn.XLOOKUP(A12,temp_data!A:A,temp_data!H:H,""),"")</f>
        <v/>
      </c>
      <c r="L12" s="29" t="str">
        <f>IFERROR(_xlfn.XLOOKUP(A12,temp_data!A:A,temp_data!I:I,""),"")</f>
        <v/>
      </c>
      <c r="M12" s="29" t="str">
        <f>IFERROR(_xlfn.XLOOKUP(A12,temp_data!A:A,temp_data!J:J,""),"")</f>
        <v/>
      </c>
      <c r="N12" s="29" t="str">
        <f>IFERROR(_xlfn.XLOOKUP(A12,temp_data!A:A,temp_data!K:K,""),"")</f>
        <v/>
      </c>
      <c r="O12" s="29" t="str">
        <f>IFERROR(_xlfn.XLOOKUP(A12,temp_data!A:A,temp_data!B:B,""),"")</f>
        <v/>
      </c>
      <c r="P12" s="30" t="str">
        <f>IFERROR(_xlfn.XLOOKUP(A12,temp_data!A:A,temp_data!C:C,""),"")</f>
        <v/>
      </c>
      <c r="Q12" s="30" t="str">
        <f>IFERROR(_xlfn.XLOOKUP(A12,temp_data!A:A,temp_data!L:L,""),"")</f>
        <v/>
      </c>
      <c r="R12" s="30" t="str">
        <f>IFERROR(_xlfn.XLOOKUP(A12,temp_data!A:A,temp_data!N:N,""),"")</f>
        <v/>
      </c>
      <c r="S12" s="29" t="str">
        <f>IFERROR(_xlfn.XLOOKUP(A12,temp_data!A:A,temp_data!M:M,""),"")</f>
        <v/>
      </c>
      <c r="T12" s="29" t="str">
        <f>IFERROR(_xlfn.XLOOKUP(A12,temp_data!A:A,temp_data!O:O,""),"")</f>
        <v/>
      </c>
      <c r="U12" s="30" t="str">
        <f>IFERROR(_xlfn.XLOOKUP(A12,temp_data!A:A,temp_data!P:P,""),"")</f>
        <v/>
      </c>
      <c r="V12" s="30" t="str">
        <f>IFERROR(_xlfn.XLOOKUP(A12,temp_data!A:A,temp_data!Q:Q,""),"")</f>
        <v/>
      </c>
      <c r="W12" s="30" t="str">
        <f>IFERROR(_xlfn.XLOOKUP(A12,temp_data!A:A,temp_data!R:R,""),"")</f>
        <v/>
      </c>
      <c r="X12" s="30" t="str">
        <f>IFERROR(_xlfn.XLOOKUP(A12,temp_data!A:A,temp_data!S:S,""),"")</f>
        <v/>
      </c>
      <c r="Y12" s="29"/>
      <c r="Z12" s="29"/>
    </row>
    <row r="13" spans="1:26" ht="15.3" x14ac:dyDescent="0.55000000000000004">
      <c r="A13" s="26" t="str">
        <f>IF(temp_data!A11="","",temp_data!A11)</f>
        <v/>
      </c>
      <c r="B13" s="27"/>
      <c r="C13" s="26"/>
      <c r="D13" s="26"/>
      <c r="E13" s="26"/>
      <c r="F13" s="26" t="str">
        <f>IFERROR(_xlfn.XLOOKUP(A13,temp_data!A:A,temp_data!D:D,""),"")</f>
        <v/>
      </c>
      <c r="G13" s="28"/>
      <c r="H13" s="29" t="str">
        <f>IFERROR(_xlfn.XLOOKUP(A13,temp_data!A:A,temp_data!E:E,""),"")</f>
        <v/>
      </c>
      <c r="I13" s="29" t="str">
        <f>IFERROR(_xlfn.XLOOKUP(A13,temp_data!A:A,temp_data!F:F,""),"")</f>
        <v/>
      </c>
      <c r="J13" s="29" t="str">
        <f>IFERROR(_xlfn.XLOOKUP(A13,temp_data!A:A,temp_data!G:G,""),"")</f>
        <v/>
      </c>
      <c r="K13" s="29" t="str">
        <f>IFERROR(_xlfn.XLOOKUP(A13,temp_data!A:A,temp_data!H:H,""),"")</f>
        <v/>
      </c>
      <c r="L13" s="29" t="str">
        <f>IFERROR(_xlfn.XLOOKUP(A13,temp_data!A:A,temp_data!I:I,""),"")</f>
        <v/>
      </c>
      <c r="M13" s="29" t="str">
        <f>IFERROR(_xlfn.XLOOKUP(A13,temp_data!A:A,temp_data!J:J,""),"")</f>
        <v/>
      </c>
      <c r="N13" s="29" t="str">
        <f>IFERROR(_xlfn.XLOOKUP(A13,temp_data!A:A,temp_data!K:K,""),"")</f>
        <v/>
      </c>
      <c r="O13" s="29" t="str">
        <f>IFERROR(_xlfn.XLOOKUP(A13,temp_data!A:A,temp_data!B:B,""),"")</f>
        <v/>
      </c>
      <c r="P13" s="30" t="str">
        <f>IFERROR(_xlfn.XLOOKUP(A13,temp_data!A:A,temp_data!C:C,""),"")</f>
        <v/>
      </c>
      <c r="Q13" s="30" t="str">
        <f>IFERROR(_xlfn.XLOOKUP(A13,temp_data!A:A,temp_data!L:L,""),"")</f>
        <v/>
      </c>
      <c r="R13" s="30" t="str">
        <f>IFERROR(_xlfn.XLOOKUP(A13,temp_data!A:A,temp_data!N:N,""),"")</f>
        <v/>
      </c>
      <c r="S13" s="29" t="str">
        <f>IFERROR(_xlfn.XLOOKUP(A13,temp_data!A:A,temp_data!M:M,""),"")</f>
        <v/>
      </c>
      <c r="T13" s="29" t="str">
        <f>IFERROR(_xlfn.XLOOKUP(A13,temp_data!A:A,temp_data!O:O,""),"")</f>
        <v/>
      </c>
      <c r="U13" s="30" t="str">
        <f>IFERROR(_xlfn.XLOOKUP(A13,temp_data!A:A,temp_data!P:P,""),"")</f>
        <v/>
      </c>
      <c r="V13" s="30" t="str">
        <f>IFERROR(_xlfn.XLOOKUP(A13,temp_data!A:A,temp_data!Q:Q,""),"")</f>
        <v/>
      </c>
      <c r="W13" s="30" t="str">
        <f>IFERROR(_xlfn.XLOOKUP(A13,temp_data!A:A,temp_data!R:R,""),"")</f>
        <v/>
      </c>
      <c r="X13" s="30" t="str">
        <f>IFERROR(_xlfn.XLOOKUP(A13,temp_data!A:A,temp_data!S:S,""),"")</f>
        <v/>
      </c>
      <c r="Y13" s="29"/>
      <c r="Z13" s="29"/>
    </row>
    <row r="14" spans="1:26" ht="15.3" x14ac:dyDescent="0.55000000000000004">
      <c r="A14" s="26" t="str">
        <f>IF(temp_data!A12="","",temp_data!A12)</f>
        <v/>
      </c>
      <c r="B14" s="27"/>
      <c r="C14" s="26"/>
      <c r="D14" s="26"/>
      <c r="E14" s="26"/>
      <c r="F14" s="26" t="str">
        <f>IFERROR(_xlfn.XLOOKUP(A14,temp_data!A:A,temp_data!D:D,""),"")</f>
        <v/>
      </c>
      <c r="G14" s="28"/>
      <c r="H14" s="29" t="str">
        <f>IFERROR(_xlfn.XLOOKUP(A14,temp_data!A:A,temp_data!E:E,""),"")</f>
        <v/>
      </c>
      <c r="I14" s="29" t="str">
        <f>IFERROR(_xlfn.XLOOKUP(A14,temp_data!A:A,temp_data!F:F,""),"")</f>
        <v/>
      </c>
      <c r="J14" s="29" t="str">
        <f>IFERROR(_xlfn.XLOOKUP(A14,temp_data!A:A,temp_data!G:G,""),"")</f>
        <v/>
      </c>
      <c r="K14" s="29" t="str">
        <f>IFERROR(_xlfn.XLOOKUP(A14,temp_data!A:A,temp_data!H:H,""),"")</f>
        <v/>
      </c>
      <c r="L14" s="29" t="str">
        <f>IFERROR(_xlfn.XLOOKUP(A14,temp_data!A:A,temp_data!I:I,""),"")</f>
        <v/>
      </c>
      <c r="M14" s="29" t="str">
        <f>IFERROR(_xlfn.XLOOKUP(A14,temp_data!A:A,temp_data!J:J,""),"")</f>
        <v/>
      </c>
      <c r="N14" s="29" t="str">
        <f>IFERROR(_xlfn.XLOOKUP(A14,temp_data!A:A,temp_data!K:K,""),"")</f>
        <v/>
      </c>
      <c r="O14" s="29" t="str">
        <f>IFERROR(_xlfn.XLOOKUP(A14,temp_data!A:A,temp_data!B:B,""),"")</f>
        <v/>
      </c>
      <c r="P14" s="30" t="str">
        <f>IFERROR(_xlfn.XLOOKUP(A14,temp_data!A:A,temp_data!C:C,""),"")</f>
        <v/>
      </c>
      <c r="Q14" s="30" t="str">
        <f>IFERROR(_xlfn.XLOOKUP(A14,temp_data!A:A,temp_data!L:L,""),"")</f>
        <v/>
      </c>
      <c r="R14" s="30" t="str">
        <f>IFERROR(_xlfn.XLOOKUP(A14,temp_data!A:A,temp_data!N:N,""),"")</f>
        <v/>
      </c>
      <c r="S14" s="29" t="str">
        <f>IFERROR(_xlfn.XLOOKUP(A14,temp_data!A:A,temp_data!M:M,""),"")</f>
        <v/>
      </c>
      <c r="T14" s="29" t="str">
        <f>IFERROR(_xlfn.XLOOKUP(A14,temp_data!A:A,temp_data!O:O,""),"")</f>
        <v/>
      </c>
      <c r="U14" s="30" t="str">
        <f>IFERROR(_xlfn.XLOOKUP(A14,temp_data!A:A,temp_data!P:P,""),"")</f>
        <v/>
      </c>
      <c r="V14" s="30" t="str">
        <f>IFERROR(_xlfn.XLOOKUP(A14,temp_data!A:A,temp_data!Q:Q,""),"")</f>
        <v/>
      </c>
      <c r="W14" s="30" t="str">
        <f>IFERROR(_xlfn.XLOOKUP(A14,temp_data!A:A,temp_data!R:R,""),"")</f>
        <v/>
      </c>
      <c r="X14" s="30" t="str">
        <f>IFERROR(_xlfn.XLOOKUP(A14,temp_data!A:A,temp_data!S:S,""),"")</f>
        <v/>
      </c>
      <c r="Y14" s="29"/>
      <c r="Z14" s="29"/>
    </row>
    <row r="15" spans="1:26" ht="15.3" x14ac:dyDescent="0.55000000000000004">
      <c r="A15" s="26" t="str">
        <f>IF(temp_data!A13="","",temp_data!A13)</f>
        <v/>
      </c>
      <c r="B15" s="27"/>
      <c r="C15" s="26"/>
      <c r="D15" s="26"/>
      <c r="E15" s="26"/>
      <c r="F15" s="26" t="str">
        <f>IFERROR(_xlfn.XLOOKUP(A15,temp_data!A:A,temp_data!D:D,""),"")</f>
        <v/>
      </c>
      <c r="G15" s="28"/>
      <c r="H15" s="29" t="str">
        <f>IFERROR(_xlfn.XLOOKUP(A15,temp_data!A:A,temp_data!E:E,""),"")</f>
        <v/>
      </c>
      <c r="I15" s="29" t="str">
        <f>IFERROR(_xlfn.XLOOKUP(A15,temp_data!A:A,temp_data!F:F,""),"")</f>
        <v/>
      </c>
      <c r="J15" s="29" t="str">
        <f>IFERROR(_xlfn.XLOOKUP(A15,temp_data!A:A,temp_data!G:G,""),"")</f>
        <v/>
      </c>
      <c r="K15" s="29" t="str">
        <f>IFERROR(_xlfn.XLOOKUP(A15,temp_data!A:A,temp_data!H:H,""),"")</f>
        <v/>
      </c>
      <c r="L15" s="29" t="str">
        <f>IFERROR(_xlfn.XLOOKUP(A15,temp_data!A:A,temp_data!I:I,""),"")</f>
        <v/>
      </c>
      <c r="M15" s="29" t="str">
        <f>IFERROR(_xlfn.XLOOKUP(A15,temp_data!A:A,temp_data!J:J,""),"")</f>
        <v/>
      </c>
      <c r="N15" s="29" t="str">
        <f>IFERROR(_xlfn.XLOOKUP(A15,temp_data!A:A,temp_data!K:K,""),"")</f>
        <v/>
      </c>
      <c r="O15" s="29" t="str">
        <f>IFERROR(_xlfn.XLOOKUP(A15,temp_data!A:A,temp_data!B:B,""),"")</f>
        <v/>
      </c>
      <c r="P15" s="30" t="str">
        <f>IFERROR(_xlfn.XLOOKUP(A15,temp_data!A:A,temp_data!C:C,""),"")</f>
        <v/>
      </c>
      <c r="Q15" s="30" t="str">
        <f>IFERROR(_xlfn.XLOOKUP(A15,temp_data!A:A,temp_data!L:L,""),"")</f>
        <v/>
      </c>
      <c r="R15" s="30" t="str">
        <f>IFERROR(_xlfn.XLOOKUP(A15,temp_data!A:A,temp_data!N:N,""),"")</f>
        <v/>
      </c>
      <c r="S15" s="29" t="str">
        <f>IFERROR(_xlfn.XLOOKUP(A15,temp_data!A:A,temp_data!M:M,""),"")</f>
        <v/>
      </c>
      <c r="T15" s="29" t="str">
        <f>IFERROR(_xlfn.XLOOKUP(A15,temp_data!A:A,temp_data!O:O,""),"")</f>
        <v/>
      </c>
      <c r="U15" s="30" t="str">
        <f>IFERROR(_xlfn.XLOOKUP(A15,temp_data!A:A,temp_data!P:P,""),"")</f>
        <v/>
      </c>
      <c r="V15" s="30" t="str">
        <f>IFERROR(_xlfn.XLOOKUP(A15,temp_data!A:A,temp_data!Q:Q,""),"")</f>
        <v/>
      </c>
      <c r="W15" s="30" t="str">
        <f>IFERROR(_xlfn.XLOOKUP(A15,temp_data!A:A,temp_data!R:R,""),"")</f>
        <v/>
      </c>
      <c r="X15" s="30" t="str">
        <f>IFERROR(_xlfn.XLOOKUP(A15,temp_data!A:A,temp_data!S:S,""),"")</f>
        <v/>
      </c>
      <c r="Y15" s="29"/>
      <c r="Z15" s="29"/>
    </row>
    <row r="16" spans="1:26" ht="15.3" x14ac:dyDescent="0.55000000000000004">
      <c r="A16" s="26" t="str">
        <f>IF(temp_data!A14="","",temp_data!A14)</f>
        <v/>
      </c>
      <c r="B16" s="27"/>
      <c r="C16" s="26"/>
      <c r="D16" s="26"/>
      <c r="E16" s="26"/>
      <c r="F16" s="26" t="str">
        <f>IFERROR(_xlfn.XLOOKUP(A16,temp_data!A:A,temp_data!D:D,""),"")</f>
        <v/>
      </c>
      <c r="G16" s="28"/>
      <c r="H16" s="29" t="str">
        <f>IFERROR(_xlfn.XLOOKUP(A16,temp_data!A:A,temp_data!E:E,""),"")</f>
        <v/>
      </c>
      <c r="I16" s="29" t="str">
        <f>IFERROR(_xlfn.XLOOKUP(A16,temp_data!A:A,temp_data!F:F,""),"")</f>
        <v/>
      </c>
      <c r="J16" s="29" t="str">
        <f>IFERROR(_xlfn.XLOOKUP(A16,temp_data!A:A,temp_data!G:G,""),"")</f>
        <v/>
      </c>
      <c r="K16" s="29" t="str">
        <f>IFERROR(_xlfn.XLOOKUP(A16,temp_data!A:A,temp_data!H:H,""),"")</f>
        <v/>
      </c>
      <c r="L16" s="29" t="str">
        <f>IFERROR(_xlfn.XLOOKUP(A16,temp_data!A:A,temp_data!I:I,""),"")</f>
        <v/>
      </c>
      <c r="M16" s="29" t="str">
        <f>IFERROR(_xlfn.XLOOKUP(A16,temp_data!A:A,temp_data!J:J,""),"")</f>
        <v/>
      </c>
      <c r="N16" s="29" t="str">
        <f>IFERROR(_xlfn.XLOOKUP(A16,temp_data!A:A,temp_data!K:K,""),"")</f>
        <v/>
      </c>
      <c r="O16" s="29" t="str">
        <f>IFERROR(_xlfn.XLOOKUP(A16,temp_data!A:A,temp_data!B:B,""),"")</f>
        <v/>
      </c>
      <c r="P16" s="30" t="str">
        <f>IFERROR(_xlfn.XLOOKUP(A16,temp_data!A:A,temp_data!C:C,""),"")</f>
        <v/>
      </c>
      <c r="Q16" s="30" t="str">
        <f>IFERROR(_xlfn.XLOOKUP(A16,temp_data!A:A,temp_data!L:L,""),"")</f>
        <v/>
      </c>
      <c r="R16" s="30" t="str">
        <f>IFERROR(_xlfn.XLOOKUP(A16,temp_data!A:A,temp_data!N:N,""),"")</f>
        <v/>
      </c>
      <c r="S16" s="29" t="str">
        <f>IFERROR(_xlfn.XLOOKUP(A16,temp_data!A:A,temp_data!M:M,""),"")</f>
        <v/>
      </c>
      <c r="T16" s="29" t="str">
        <f>IFERROR(_xlfn.XLOOKUP(A16,temp_data!A:A,temp_data!O:O,""),"")</f>
        <v/>
      </c>
      <c r="U16" s="30" t="str">
        <f>IFERROR(_xlfn.XLOOKUP(A16,temp_data!A:A,temp_data!P:P,""),"")</f>
        <v/>
      </c>
      <c r="V16" s="30" t="str">
        <f>IFERROR(_xlfn.XLOOKUP(A16,temp_data!A:A,temp_data!Q:Q,""),"")</f>
        <v/>
      </c>
      <c r="W16" s="30" t="str">
        <f>IFERROR(_xlfn.XLOOKUP(A16,temp_data!A:A,temp_data!R:R,""),"")</f>
        <v/>
      </c>
      <c r="X16" s="30" t="str">
        <f>IFERROR(_xlfn.XLOOKUP(A16,temp_data!A:A,temp_data!S:S,""),"")</f>
        <v/>
      </c>
      <c r="Y16" s="29"/>
      <c r="Z16" s="29"/>
    </row>
    <row r="17" spans="1:26" ht="15.3" x14ac:dyDescent="0.55000000000000004">
      <c r="A17" s="26" t="str">
        <f>IF(temp_data!A15="","",temp_data!A15)</f>
        <v/>
      </c>
      <c r="B17" s="27"/>
      <c r="C17" s="26"/>
      <c r="D17" s="26"/>
      <c r="E17" s="26"/>
      <c r="F17" s="26" t="str">
        <f>IFERROR(_xlfn.XLOOKUP(A17,temp_data!A:A,temp_data!D:D,""),"")</f>
        <v/>
      </c>
      <c r="G17" s="28"/>
      <c r="H17" s="29" t="str">
        <f>IFERROR(_xlfn.XLOOKUP(A17,temp_data!A:A,temp_data!E:E,""),"")</f>
        <v/>
      </c>
      <c r="I17" s="29" t="str">
        <f>IFERROR(_xlfn.XLOOKUP(A17,temp_data!A:A,temp_data!F:F,""),"")</f>
        <v/>
      </c>
      <c r="J17" s="29" t="str">
        <f>IFERROR(_xlfn.XLOOKUP(A17,temp_data!A:A,temp_data!G:G,""),"")</f>
        <v/>
      </c>
      <c r="K17" s="29" t="str">
        <f>IFERROR(_xlfn.XLOOKUP(A17,temp_data!A:A,temp_data!H:H,""),"")</f>
        <v/>
      </c>
      <c r="L17" s="29" t="str">
        <f>IFERROR(_xlfn.XLOOKUP(A17,temp_data!A:A,temp_data!I:I,""),"")</f>
        <v/>
      </c>
      <c r="M17" s="29" t="str">
        <f>IFERROR(_xlfn.XLOOKUP(A17,temp_data!A:A,temp_data!J:J,""),"")</f>
        <v/>
      </c>
      <c r="N17" s="29" t="str">
        <f>IFERROR(_xlfn.XLOOKUP(A17,temp_data!A:A,temp_data!K:K,""),"")</f>
        <v/>
      </c>
      <c r="O17" s="29" t="str">
        <f>IFERROR(_xlfn.XLOOKUP(A17,temp_data!A:A,temp_data!B:B,""),"")</f>
        <v/>
      </c>
      <c r="P17" s="30" t="str">
        <f>IFERROR(_xlfn.XLOOKUP(A17,temp_data!A:A,temp_data!C:C,""),"")</f>
        <v/>
      </c>
      <c r="Q17" s="30" t="str">
        <f>IFERROR(_xlfn.XLOOKUP(A17,temp_data!A:A,temp_data!L:L,""),"")</f>
        <v/>
      </c>
      <c r="R17" s="30" t="str">
        <f>IFERROR(_xlfn.XLOOKUP(A17,temp_data!A:A,temp_data!N:N,""),"")</f>
        <v/>
      </c>
      <c r="S17" s="29" t="str">
        <f>IFERROR(_xlfn.XLOOKUP(A17,temp_data!A:A,temp_data!M:M,""),"")</f>
        <v/>
      </c>
      <c r="T17" s="29" t="str">
        <f>IFERROR(_xlfn.XLOOKUP(A17,temp_data!A:A,temp_data!O:O,""),"")</f>
        <v/>
      </c>
      <c r="U17" s="30" t="str">
        <f>IFERROR(_xlfn.XLOOKUP(A17,temp_data!A:A,temp_data!P:P,""),"")</f>
        <v/>
      </c>
      <c r="V17" s="30" t="str">
        <f>IFERROR(_xlfn.XLOOKUP(A17,temp_data!A:A,temp_data!Q:Q,""),"")</f>
        <v/>
      </c>
      <c r="W17" s="30" t="str">
        <f>IFERROR(_xlfn.XLOOKUP(A17,temp_data!A:A,temp_data!R:R,""),"")</f>
        <v/>
      </c>
      <c r="X17" s="30" t="str">
        <f>IFERROR(_xlfn.XLOOKUP(A17,temp_data!A:A,temp_data!S:S,""),"")</f>
        <v/>
      </c>
      <c r="Y17" s="29"/>
      <c r="Z17" s="29"/>
    </row>
    <row r="18" spans="1:26" ht="15.3" x14ac:dyDescent="0.55000000000000004">
      <c r="A18" s="26" t="str">
        <f>IF(temp_data!A16="","",temp_data!A16)</f>
        <v/>
      </c>
      <c r="B18" s="27"/>
      <c r="C18" s="26"/>
      <c r="D18" s="26"/>
      <c r="E18" s="26"/>
      <c r="F18" s="26" t="str">
        <f>IFERROR(_xlfn.XLOOKUP(A18,temp_data!A:A,temp_data!D:D,""),"")</f>
        <v/>
      </c>
      <c r="G18" s="28"/>
      <c r="H18" s="29" t="str">
        <f>IFERROR(_xlfn.XLOOKUP(A18,temp_data!A:A,temp_data!E:E,""),"")</f>
        <v/>
      </c>
      <c r="I18" s="29" t="str">
        <f>IFERROR(_xlfn.XLOOKUP(A18,temp_data!A:A,temp_data!F:F,""),"")</f>
        <v/>
      </c>
      <c r="J18" s="29" t="str">
        <f>IFERROR(_xlfn.XLOOKUP(A18,temp_data!A:A,temp_data!G:G,""),"")</f>
        <v/>
      </c>
      <c r="K18" s="29" t="str">
        <f>IFERROR(_xlfn.XLOOKUP(A18,temp_data!A:A,temp_data!H:H,""),"")</f>
        <v/>
      </c>
      <c r="L18" s="29" t="str">
        <f>IFERROR(_xlfn.XLOOKUP(A18,temp_data!A:A,temp_data!I:I,""),"")</f>
        <v/>
      </c>
      <c r="M18" s="29" t="str">
        <f>IFERROR(_xlfn.XLOOKUP(A18,temp_data!A:A,temp_data!J:J,""),"")</f>
        <v/>
      </c>
      <c r="N18" s="29" t="str">
        <f>IFERROR(_xlfn.XLOOKUP(A18,temp_data!A:A,temp_data!K:K,""),"")</f>
        <v/>
      </c>
      <c r="O18" s="29" t="str">
        <f>IFERROR(_xlfn.XLOOKUP(A18,temp_data!A:A,temp_data!B:B,""),"")</f>
        <v/>
      </c>
      <c r="P18" s="30" t="str">
        <f>IFERROR(_xlfn.XLOOKUP(A18,temp_data!A:A,temp_data!C:C,""),"")</f>
        <v/>
      </c>
      <c r="Q18" s="30" t="str">
        <f>IFERROR(_xlfn.XLOOKUP(A18,temp_data!A:A,temp_data!L:L,""),"")</f>
        <v/>
      </c>
      <c r="R18" s="30" t="str">
        <f>IFERROR(_xlfn.XLOOKUP(A18,temp_data!A:A,temp_data!N:N,""),"")</f>
        <v/>
      </c>
      <c r="S18" s="29" t="str">
        <f>IFERROR(_xlfn.XLOOKUP(A18,temp_data!A:A,temp_data!M:M,""),"")</f>
        <v/>
      </c>
      <c r="T18" s="29" t="str">
        <f>IFERROR(_xlfn.XLOOKUP(A18,temp_data!A:A,temp_data!O:O,""),"")</f>
        <v/>
      </c>
      <c r="U18" s="30" t="str">
        <f>IFERROR(_xlfn.XLOOKUP(A18,temp_data!A:A,temp_data!P:P,""),"")</f>
        <v/>
      </c>
      <c r="V18" s="30" t="str">
        <f>IFERROR(_xlfn.XLOOKUP(A18,temp_data!A:A,temp_data!Q:Q,""),"")</f>
        <v/>
      </c>
      <c r="W18" s="30" t="str">
        <f>IFERROR(_xlfn.XLOOKUP(A18,temp_data!A:A,temp_data!R:R,""),"")</f>
        <v/>
      </c>
      <c r="X18" s="30" t="str">
        <f>IFERROR(_xlfn.XLOOKUP(A18,temp_data!A:A,temp_data!S:S,""),"")</f>
        <v/>
      </c>
      <c r="Y18" s="29"/>
      <c r="Z18" s="29"/>
    </row>
    <row r="19" spans="1:26" ht="15.3" x14ac:dyDescent="0.55000000000000004">
      <c r="A19" s="26" t="str">
        <f>IF(temp_data!A17="","",temp_data!A17)</f>
        <v/>
      </c>
      <c r="B19" s="27"/>
      <c r="C19" s="26"/>
      <c r="D19" s="26"/>
      <c r="E19" s="26"/>
      <c r="F19" s="26" t="str">
        <f>IFERROR(_xlfn.XLOOKUP(A19,temp_data!A:A,temp_data!D:D,""),"")</f>
        <v/>
      </c>
      <c r="G19" s="28"/>
      <c r="H19" s="29" t="str">
        <f>IFERROR(_xlfn.XLOOKUP(A19,temp_data!A:A,temp_data!E:E,""),"")</f>
        <v/>
      </c>
      <c r="I19" s="29" t="str">
        <f>IFERROR(_xlfn.XLOOKUP(A19,temp_data!A:A,temp_data!F:F,""),"")</f>
        <v/>
      </c>
      <c r="J19" s="29" t="str">
        <f>IFERROR(_xlfn.XLOOKUP(A19,temp_data!A:A,temp_data!G:G,""),"")</f>
        <v/>
      </c>
      <c r="K19" s="29" t="str">
        <f>IFERROR(_xlfn.XLOOKUP(A19,temp_data!A:A,temp_data!H:H,""),"")</f>
        <v/>
      </c>
      <c r="L19" s="29" t="str">
        <f>IFERROR(_xlfn.XLOOKUP(A19,temp_data!A:A,temp_data!I:I,""),"")</f>
        <v/>
      </c>
      <c r="M19" s="29" t="str">
        <f>IFERROR(_xlfn.XLOOKUP(A19,temp_data!A:A,temp_data!J:J,""),"")</f>
        <v/>
      </c>
      <c r="N19" s="29" t="str">
        <f>IFERROR(_xlfn.XLOOKUP(A19,temp_data!A:A,temp_data!K:K,""),"")</f>
        <v/>
      </c>
      <c r="O19" s="29" t="str">
        <f>IFERROR(_xlfn.XLOOKUP(A19,temp_data!A:A,temp_data!B:B,""),"")</f>
        <v/>
      </c>
      <c r="P19" s="30" t="str">
        <f>IFERROR(_xlfn.XLOOKUP(A19,temp_data!A:A,temp_data!C:C,""),"")</f>
        <v/>
      </c>
      <c r="Q19" s="30" t="str">
        <f>IFERROR(_xlfn.XLOOKUP(A19,temp_data!A:A,temp_data!L:L,""),"")</f>
        <v/>
      </c>
      <c r="R19" s="30" t="str">
        <f>IFERROR(_xlfn.XLOOKUP(A19,temp_data!A:A,temp_data!N:N,""),"")</f>
        <v/>
      </c>
      <c r="S19" s="29" t="str">
        <f>IFERROR(_xlfn.XLOOKUP(A19,temp_data!A:A,temp_data!M:M,""),"")</f>
        <v/>
      </c>
      <c r="T19" s="29" t="str">
        <f>IFERROR(_xlfn.XLOOKUP(A19,temp_data!A:A,temp_data!O:O,""),"")</f>
        <v/>
      </c>
      <c r="U19" s="30" t="str">
        <f>IFERROR(_xlfn.XLOOKUP(A19,temp_data!A:A,temp_data!P:P,""),"")</f>
        <v/>
      </c>
      <c r="V19" s="30" t="str">
        <f>IFERROR(_xlfn.XLOOKUP(A19,temp_data!A:A,temp_data!Q:Q,""),"")</f>
        <v/>
      </c>
      <c r="W19" s="30" t="str">
        <f>IFERROR(_xlfn.XLOOKUP(A19,temp_data!A:A,temp_data!R:R,""),"")</f>
        <v/>
      </c>
      <c r="X19" s="30" t="str">
        <f>IFERROR(_xlfn.XLOOKUP(A19,temp_data!A:A,temp_data!S:S,""),"")</f>
        <v/>
      </c>
      <c r="Y19" s="29"/>
      <c r="Z19" s="29"/>
    </row>
    <row r="20" spans="1:26" ht="15.3" x14ac:dyDescent="0.55000000000000004">
      <c r="A20" t="s">
        <v>33</v>
      </c>
      <c r="B20" s="10">
        <v>45964</v>
      </c>
      <c r="C20" t="s">
        <v>34</v>
      </c>
      <c r="D20" t="s">
        <v>35</v>
      </c>
      <c r="E20" t="s">
        <v>36</v>
      </c>
      <c r="F20" t="s">
        <v>89</v>
      </c>
      <c r="G20" s="4" t="s">
        <v>37</v>
      </c>
      <c r="H20">
        <v>6</v>
      </c>
      <c r="I20">
        <v>288</v>
      </c>
      <c r="J20">
        <v>6</v>
      </c>
      <c r="K20">
        <v>576</v>
      </c>
      <c r="L20">
        <v>9.86</v>
      </c>
      <c r="M20">
        <v>25.05</v>
      </c>
      <c r="N20">
        <f>L20+M20</f>
        <v>34.909999999999997</v>
      </c>
      <c r="O20" t="s">
        <v>38</v>
      </c>
      <c r="P20" s="4" t="s">
        <v>59</v>
      </c>
      <c r="Q20" s="4" t="s">
        <v>41</v>
      </c>
      <c r="R20" s="4">
        <v>4.24</v>
      </c>
      <c r="S20">
        <v>209.2</v>
      </c>
      <c r="T20">
        <v>7055</v>
      </c>
      <c r="U20" s="4">
        <v>166</v>
      </c>
      <c r="V20" s="4">
        <v>3281</v>
      </c>
      <c r="W20" s="4">
        <v>11029</v>
      </c>
      <c r="X20" s="4">
        <v>21511</v>
      </c>
    </row>
    <row r="21" spans="1:26" ht="15.3" x14ac:dyDescent="0.55000000000000004">
      <c r="A21" t="s">
        <v>47</v>
      </c>
      <c r="B21" s="10">
        <v>45696</v>
      </c>
      <c r="C21" t="s">
        <v>49</v>
      </c>
      <c r="D21" t="s">
        <v>50</v>
      </c>
      <c r="E21" t="s">
        <v>51</v>
      </c>
      <c r="F21" t="s">
        <v>109</v>
      </c>
      <c r="G21" s="4" t="s">
        <v>48</v>
      </c>
      <c r="H21">
        <v>6</v>
      </c>
      <c r="I21">
        <v>288</v>
      </c>
      <c r="J21">
        <v>6</v>
      </c>
      <c r="K21">
        <v>576</v>
      </c>
      <c r="L21">
        <v>1.36</v>
      </c>
      <c r="M21">
        <v>13.65</v>
      </c>
      <c r="N21">
        <f t="shared" ref="N21:N26" si="0">L21+M21</f>
        <v>15.01</v>
      </c>
      <c r="O21" t="s">
        <v>52</v>
      </c>
      <c r="P21" s="4" t="s">
        <v>61</v>
      </c>
      <c r="Q21" s="4" t="s">
        <v>53</v>
      </c>
      <c r="R21" s="4">
        <v>3.7719999999999998</v>
      </c>
      <c r="S21">
        <v>62.5</v>
      </c>
      <c r="T21">
        <v>4193</v>
      </c>
      <c r="U21" s="4">
        <v>41</v>
      </c>
      <c r="V21" s="4">
        <v>1608</v>
      </c>
      <c r="W21" s="4">
        <v>8235</v>
      </c>
      <c r="X21" s="4">
        <v>14077</v>
      </c>
    </row>
    <row r="22" spans="1:26" ht="15.3" x14ac:dyDescent="0.55000000000000004">
      <c r="A22" t="s">
        <v>55</v>
      </c>
      <c r="B22" s="10">
        <v>45889</v>
      </c>
      <c r="C22" t="s">
        <v>34</v>
      </c>
      <c r="D22" t="s">
        <v>56</v>
      </c>
      <c r="E22" t="s">
        <v>54</v>
      </c>
      <c r="F22" t="s">
        <v>89</v>
      </c>
      <c r="G22" s="4" t="s">
        <v>57</v>
      </c>
      <c r="H22">
        <v>18</v>
      </c>
      <c r="I22">
        <v>864</v>
      </c>
      <c r="J22">
        <v>6</v>
      </c>
      <c r="K22">
        <v>1152</v>
      </c>
      <c r="L22">
        <v>9.5299999999999994</v>
      </c>
      <c r="M22">
        <v>19.57</v>
      </c>
      <c r="N22">
        <f t="shared" si="0"/>
        <v>29.1</v>
      </c>
      <c r="O22" t="s">
        <v>58</v>
      </c>
      <c r="P22" s="4" t="s">
        <v>60</v>
      </c>
      <c r="Q22" s="4" t="s">
        <v>62</v>
      </c>
      <c r="R22" s="4">
        <v>5.593</v>
      </c>
      <c r="S22">
        <v>475.1</v>
      </c>
      <c r="T22">
        <v>88780</v>
      </c>
      <c r="U22" s="4">
        <v>403</v>
      </c>
      <c r="V22" s="4">
        <v>11885</v>
      </c>
      <c r="W22" s="4">
        <v>76442</v>
      </c>
      <c r="X22" s="4">
        <v>177510</v>
      </c>
    </row>
    <row r="23" spans="1:26" ht="15.3" x14ac:dyDescent="0.55000000000000004">
      <c r="A23" t="s">
        <v>65</v>
      </c>
      <c r="B23" s="10">
        <v>45949</v>
      </c>
      <c r="C23" t="s">
        <v>49</v>
      </c>
      <c r="D23" t="s">
        <v>50</v>
      </c>
      <c r="E23" t="s">
        <v>64</v>
      </c>
      <c r="F23" t="s">
        <v>89</v>
      </c>
      <c r="G23" s="4" t="s">
        <v>63</v>
      </c>
      <c r="H23">
        <v>6</v>
      </c>
      <c r="I23">
        <v>288</v>
      </c>
      <c r="J23">
        <v>6</v>
      </c>
      <c r="K23">
        <v>576</v>
      </c>
      <c r="L23">
        <v>3.5</v>
      </c>
      <c r="M23">
        <v>20.75</v>
      </c>
      <c r="N23">
        <f t="shared" si="0"/>
        <v>24.25</v>
      </c>
      <c r="O23" t="s">
        <v>66</v>
      </c>
      <c r="P23" s="4" t="s">
        <v>67</v>
      </c>
      <c r="Q23" s="4" t="s">
        <v>68</v>
      </c>
      <c r="R23" s="4">
        <v>3.6080000000000001</v>
      </c>
      <c r="S23">
        <v>209.2</v>
      </c>
      <c r="T23">
        <v>26126</v>
      </c>
      <c r="U23" s="4">
        <v>99</v>
      </c>
      <c r="V23" s="4">
        <v>6439</v>
      </c>
      <c r="W23" s="4">
        <v>53652</v>
      </c>
      <c r="X23" s="4">
        <v>26136</v>
      </c>
    </row>
    <row r="24" spans="1:26" ht="15.3" x14ac:dyDescent="0.55000000000000004">
      <c r="A24" t="s">
        <v>69</v>
      </c>
      <c r="B24" s="10">
        <v>45674</v>
      </c>
      <c r="C24" t="s">
        <v>34</v>
      </c>
      <c r="D24" t="s">
        <v>35</v>
      </c>
      <c r="E24" t="s">
        <v>70</v>
      </c>
      <c r="F24" t="s">
        <v>109</v>
      </c>
      <c r="G24" s="4" t="s">
        <v>71</v>
      </c>
      <c r="H24">
        <v>12</v>
      </c>
      <c r="I24">
        <v>288</v>
      </c>
      <c r="J24">
        <v>18</v>
      </c>
      <c r="K24">
        <v>432</v>
      </c>
      <c r="L24">
        <v>7.4</v>
      </c>
      <c r="M24">
        <v>35</v>
      </c>
      <c r="N24">
        <f t="shared" si="0"/>
        <v>42.4</v>
      </c>
      <c r="O24" t="s">
        <v>72</v>
      </c>
      <c r="P24" s="4" t="s">
        <v>73</v>
      </c>
      <c r="Q24" s="4" t="s">
        <v>74</v>
      </c>
      <c r="R24" s="4">
        <v>4.1559999999999997</v>
      </c>
      <c r="S24">
        <v>175.6</v>
      </c>
      <c r="T24">
        <v>196587</v>
      </c>
      <c r="U24" s="4">
        <v>129</v>
      </c>
      <c r="V24" s="4">
        <v>6375</v>
      </c>
      <c r="W24" s="4">
        <v>46689</v>
      </c>
      <c r="X24" s="4">
        <v>249780</v>
      </c>
    </row>
    <row r="25" spans="1:26" ht="15.3" x14ac:dyDescent="0.55000000000000004">
      <c r="A25" t="s">
        <v>75</v>
      </c>
      <c r="B25" s="10">
        <v>45556</v>
      </c>
      <c r="C25" t="s">
        <v>34</v>
      </c>
      <c r="D25" t="s">
        <v>56</v>
      </c>
      <c r="E25" t="s">
        <v>76</v>
      </c>
      <c r="F25" t="s">
        <v>90</v>
      </c>
      <c r="G25" s="4" t="s">
        <v>77</v>
      </c>
      <c r="H25">
        <v>42</v>
      </c>
      <c r="I25">
        <v>2016</v>
      </c>
      <c r="J25">
        <v>54</v>
      </c>
      <c r="K25">
        <v>2112</v>
      </c>
      <c r="L25">
        <v>4.3899999999999997</v>
      </c>
      <c r="M25">
        <v>5.44</v>
      </c>
      <c r="N25">
        <f t="shared" si="0"/>
        <v>9.83</v>
      </c>
      <c r="O25" t="s">
        <v>78</v>
      </c>
      <c r="P25" s="4" t="s">
        <v>79</v>
      </c>
      <c r="Q25" s="4" t="s">
        <v>80</v>
      </c>
      <c r="R25" s="4">
        <v>4.5750000000000002</v>
      </c>
      <c r="S25">
        <v>421.9</v>
      </c>
      <c r="T25">
        <v>138073</v>
      </c>
      <c r="U25" s="4">
        <v>288</v>
      </c>
      <c r="V25" s="4">
        <v>8473</v>
      </c>
      <c r="W25" s="4">
        <v>101095</v>
      </c>
      <c r="X25" s="4">
        <v>247929</v>
      </c>
    </row>
    <row r="26" spans="1:26" ht="15.3" x14ac:dyDescent="0.55000000000000004">
      <c r="A26" t="s">
        <v>82</v>
      </c>
      <c r="B26" s="10">
        <v>45991</v>
      </c>
      <c r="C26" t="s">
        <v>49</v>
      </c>
      <c r="D26" t="s">
        <v>83</v>
      </c>
      <c r="E26" t="s">
        <v>81</v>
      </c>
      <c r="F26" t="s">
        <v>110</v>
      </c>
      <c r="G26" s="4" t="s">
        <v>84</v>
      </c>
      <c r="H26">
        <v>2</v>
      </c>
      <c r="I26">
        <v>48</v>
      </c>
      <c r="J26">
        <v>4</v>
      </c>
      <c r="K26">
        <v>96</v>
      </c>
      <c r="L26">
        <v>1.47</v>
      </c>
      <c r="M26">
        <v>8.48</v>
      </c>
      <c r="N26">
        <f t="shared" si="0"/>
        <v>9.9500000000000011</v>
      </c>
      <c r="O26" t="s">
        <v>85</v>
      </c>
      <c r="P26" s="4" t="s">
        <v>86</v>
      </c>
      <c r="Q26" s="4" t="s">
        <v>87</v>
      </c>
      <c r="R26" s="4">
        <v>4.468</v>
      </c>
      <c r="S26">
        <v>5.6</v>
      </c>
      <c r="T26">
        <v>4043</v>
      </c>
      <c r="U26" s="4">
        <v>7</v>
      </c>
      <c r="V26" s="4">
        <v>297</v>
      </c>
      <c r="W26" s="4">
        <v>2217</v>
      </c>
      <c r="X26" s="4">
        <v>6564</v>
      </c>
    </row>
  </sheetData>
  <mergeCells count="3">
    <mergeCell ref="Q1:X1"/>
    <mergeCell ref="H1:P1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59A4-9E62-4FF4-A0E7-3EF1D341F4AA}">
  <sheetPr codeName="Sheet3"/>
  <dimension ref="A1:N50"/>
  <sheetViews>
    <sheetView tabSelected="1" workbookViewId="0">
      <selection activeCell="P27" sqref="P27"/>
    </sheetView>
  </sheetViews>
  <sheetFormatPr defaultRowHeight="14.4" x14ac:dyDescent="0.55000000000000004"/>
  <cols>
    <col min="1" max="1" width="11.3125" customWidth="1"/>
    <col min="2" max="2" width="16.41796875" customWidth="1"/>
    <col min="3" max="3" width="13.578125" customWidth="1"/>
    <col min="4" max="4" width="11.578125" customWidth="1"/>
    <col min="5" max="5" width="10.05078125" customWidth="1"/>
    <col min="6" max="6" width="10.83984375" customWidth="1"/>
    <col min="7" max="7" width="10.3125" customWidth="1"/>
    <col min="8" max="8" width="11.05078125" customWidth="1"/>
    <col min="9" max="9" width="16.3125" customWidth="1"/>
    <col min="10" max="10" width="11.20703125" customWidth="1"/>
    <col min="11" max="11" width="8.3125" customWidth="1"/>
    <col min="12" max="12" width="12.734375" customWidth="1"/>
    <col min="13" max="13" width="20.578125" customWidth="1"/>
    <col min="14" max="14" width="12.26171875" customWidth="1"/>
    <col min="16" max="16" width="13.5234375" customWidth="1"/>
    <col min="17" max="17" width="18.20703125" customWidth="1"/>
    <col min="18" max="18" width="16.47265625" customWidth="1"/>
  </cols>
  <sheetData>
    <row r="1" spans="1:14" ht="28.2" customHeight="1" x14ac:dyDescent="0.55000000000000004">
      <c r="A1" s="11" t="s">
        <v>0</v>
      </c>
      <c r="B1" s="11" t="s">
        <v>10</v>
      </c>
      <c r="C1" s="11" t="s">
        <v>8</v>
      </c>
      <c r="D1" s="11" t="s">
        <v>24</v>
      </c>
      <c r="E1" s="11" t="s">
        <v>20</v>
      </c>
      <c r="F1" s="11" t="s">
        <v>22</v>
      </c>
      <c r="G1" s="11" t="s">
        <v>19</v>
      </c>
      <c r="H1" s="11" t="s">
        <v>21</v>
      </c>
      <c r="I1" s="11" t="s">
        <v>42</v>
      </c>
      <c r="J1" s="11" t="s">
        <v>29</v>
      </c>
      <c r="K1" s="11" t="s">
        <v>45</v>
      </c>
      <c r="L1" s="11" t="s">
        <v>46</v>
      </c>
      <c r="M1" s="1" t="s">
        <v>88</v>
      </c>
      <c r="N1" s="11" t="s">
        <v>18</v>
      </c>
    </row>
    <row r="2" spans="1:14" x14ac:dyDescent="0.55000000000000004">
      <c r="A2" t="str">
        <f>IF('James-Update'!A3="","",'James-Update'!A3)</f>
        <v>CHG0239666</v>
      </c>
      <c r="B2" t="str">
        <f>IF(A2="", "", IF(_xlfn.XLOOKUP(A2, 'James-Update'!A:A, 'James-Update'!E:E, "")="", "", _xlfn.XLOOKUP(A2, 'James-Update'!A:A, 'James-Update'!E:E, "")))</f>
        <v/>
      </c>
      <c r="C2" t="str">
        <f>IFERROR(_xlfn.XLOOKUP(A2,'James-Update'!A:A,'James-Update'!F:F,""),"")</f>
        <v>IFX_2.1.1</v>
      </c>
      <c r="D2" s="31" t="str">
        <f>IFERROR(_xlfn.XLOOKUP(A2,'James-Update'!A:A,'James-Update'!S:S,""),"")</f>
        <v>204.20</v>
      </c>
      <c r="E2" s="31" t="str">
        <f>IFERROR(_xlfn.XLOOKUP(A2,'James-Update'!A:A,'James-Update'!I:I,""),"")</f>
        <v>576</v>
      </c>
      <c r="F2" s="31" t="str">
        <f>IFERROR(_xlfn.XLOOKUP(A2,'James-Update'!A:A,'James-Update'!K:K,""),"")</f>
        <v>768</v>
      </c>
      <c r="G2" s="31" t="str">
        <f>IFERROR(_xlfn.XLOOKUP(A2,'James-Update'!A:A,'James-Update'!H:H,""),"")</f>
        <v>24</v>
      </c>
      <c r="H2" s="31" t="str">
        <f>IFERROR(_xlfn.XLOOKUP(A2,'James-Update'!A:A,'James-Update'!J:J,""),"")</f>
        <v>32</v>
      </c>
      <c r="I2" s="31" t="str">
        <f>IFERROR(_xlfn.XLOOKUP(A2,'James-Update'!A:A,'James-Update'!R:R,""),"")</f>
        <v>4.33</v>
      </c>
      <c r="J2" s="31" t="str">
        <f>IFERROR(_xlfn.XLOOKUP(A2,'James-Update'!A:A,'James-Update'!T:T,""),"")</f>
        <v>96143</v>
      </c>
      <c r="K2" s="31" t="str">
        <f>IFERROR(_xlfn.XLOOKUP(A2,'James-Update'!A:A,'James-Update'!W:W,""),"")</f>
        <v>91818</v>
      </c>
      <c r="L2" s="31" t="str">
        <f>IFERROR(_xlfn.XLOOKUP(A2,'James-Update'!A:A,'James-Update'!X:X,""),"")</f>
        <v>199575</v>
      </c>
      <c r="M2" s="32">
        <f>IF(D2="", "", IFERROR(
    IF(C2="IFX_2.1",
        IF(I2=4.24,
            0.0962794774 * D2 * (F2/E2) + 0.1,
            0.092615411 * D2 * (F2/E2) + 0.1
        ),
     IF(C2="IFX_2.5",
        IF(D2=175.6,
            0.0911161732 * D2 * (F2/E2) + 0.1,
            0.049733336 * D2 * (F2/E2) + 0.1
        ),
      IF(C2="IFX_2.1.1", 0.0286208928 * D2 * (F2/E2) + 0.1,
       0.3095238095 * D2 * (F2/E2) + 0.1
      )
     )
    ), "")
)</f>
        <v>7.8925150796799981</v>
      </c>
      <c r="N2" s="32" t="str">
        <f>IFERROR(_xlfn.XLOOKUP(A2,'James-Update'!A:A,'James-Update'!O:O,""),"")</f>
        <v>30</v>
      </c>
    </row>
    <row r="3" spans="1:14" x14ac:dyDescent="0.55000000000000004">
      <c r="A3" t="str">
        <f>IF('James-Update'!A4="","",'James-Update'!A4)</f>
        <v/>
      </c>
      <c r="B3" t="str">
        <f>IF(A3="", "", IF(_xlfn.XLOOKUP(A3, 'James-Update'!A:A, 'James-Update'!E:E, "")="", "", _xlfn.XLOOKUP(A3, 'James-Update'!A:A, 'James-Update'!E:E, "")))</f>
        <v/>
      </c>
      <c r="C3" t="str">
        <f>IFERROR(_xlfn.XLOOKUP(A3,'James-Update'!A:A,'James-Update'!F:F,""),"")</f>
        <v/>
      </c>
      <c r="D3" s="31" t="str">
        <f>IFERROR(_xlfn.XLOOKUP(A3,'James-Update'!A:A,'James-Update'!S:S,""),"")</f>
        <v/>
      </c>
      <c r="E3" s="31" t="str">
        <f>IFERROR(_xlfn.XLOOKUP(A3,'James-Update'!A:A,'James-Update'!I:I,""),"")</f>
        <v/>
      </c>
      <c r="F3" s="31" t="str">
        <f>IFERROR(_xlfn.XLOOKUP(A3,'James-Update'!A:A,'James-Update'!K:K,""),"")</f>
        <v/>
      </c>
      <c r="G3" s="31" t="str">
        <f>IFERROR(_xlfn.XLOOKUP(A3,'James-Update'!A:A,'James-Update'!H:H,""),"")</f>
        <v/>
      </c>
      <c r="H3" s="31" t="str">
        <f>IFERROR(_xlfn.XLOOKUP(A3,'James-Update'!A:A,'James-Update'!J:J,""),"")</f>
        <v/>
      </c>
      <c r="I3" s="31" t="str">
        <f>IFERROR(_xlfn.XLOOKUP(A3,'James-Update'!A:A,'James-Update'!R:R,""),"")</f>
        <v/>
      </c>
      <c r="J3" s="31" t="str">
        <f>IFERROR(_xlfn.XLOOKUP(A3,'James-Update'!A:A,'James-Update'!T:T,""),"")</f>
        <v/>
      </c>
      <c r="K3" s="31" t="str">
        <f>IFERROR(_xlfn.XLOOKUP(A3,'James-Update'!A:A,'James-Update'!W:W,""),"")</f>
        <v/>
      </c>
      <c r="L3" s="31" t="str">
        <f>IFERROR(_xlfn.XLOOKUP(A3,'James-Update'!A:A,'James-Update'!X:X,""),"")</f>
        <v/>
      </c>
      <c r="M3" s="32" t="str">
        <f t="shared" ref="M3:M50" si="0">IF(D3="", "", IFERROR(
    IF(C3="IFX_2.1",
        IF(I3=4.24,
            0.0962794774 * D3 * (F3/E3) + 0.1,
            0.092615411 * D3 * (F3/E3) + 0.1
        ),
     IF(C3="IFX_2.5",
        IF(D3=175.6,
            0.0911161732 * D3 * (F3/E3) + 0.1,
            0.049733336 * D3 * (F3/E3) + 0.1
        ),
      IF(C3="IFX_2.1.1", 0.0286208928 * D3 * (F3/E3) + 0.1,
       0.3095238095 * D3 * (F3/E3) + 0.1
      )
     )
    ), "")
)</f>
        <v/>
      </c>
      <c r="N3" s="32" t="str">
        <f>IFERROR(_xlfn.XLOOKUP(A3,'James-Update'!A:A,'James-Update'!O:O,""),"")</f>
        <v/>
      </c>
    </row>
    <row r="4" spans="1:14" x14ac:dyDescent="0.55000000000000004">
      <c r="A4" t="str">
        <f>IF('James-Update'!A5="","",'James-Update'!A5)</f>
        <v/>
      </c>
      <c r="B4" t="str">
        <f>IF(A4="", "", IF(_xlfn.XLOOKUP(A4, 'James-Update'!A:A, 'James-Update'!E:E, "")="", "", _xlfn.XLOOKUP(A4, 'James-Update'!A:A, 'James-Update'!E:E, "")))</f>
        <v/>
      </c>
      <c r="C4" t="str">
        <f>IFERROR(_xlfn.XLOOKUP(A4,'James-Update'!A:A,'James-Update'!F:F,""),"")</f>
        <v/>
      </c>
      <c r="D4" s="31" t="str">
        <f>IFERROR(_xlfn.XLOOKUP(A4,'James-Update'!A:A,'James-Update'!S:S,""),"")</f>
        <v/>
      </c>
      <c r="E4" s="31" t="str">
        <f>IFERROR(_xlfn.XLOOKUP(A4,'James-Update'!A:A,'James-Update'!I:I,""),"")</f>
        <v/>
      </c>
      <c r="F4" s="31" t="str">
        <f>IFERROR(_xlfn.XLOOKUP(A4,'James-Update'!A:A,'James-Update'!K:K,""),"")</f>
        <v/>
      </c>
      <c r="G4" s="31" t="str">
        <f>IFERROR(_xlfn.XLOOKUP(A4,'James-Update'!A:A,'James-Update'!H:H,""),"")</f>
        <v/>
      </c>
      <c r="H4" s="31" t="str">
        <f>IFERROR(_xlfn.XLOOKUP(A4,'James-Update'!A:A,'James-Update'!J:J,""),"")</f>
        <v/>
      </c>
      <c r="I4" s="31" t="str">
        <f>IFERROR(_xlfn.XLOOKUP(A4,'James-Update'!A:A,'James-Update'!R:R,""),"")</f>
        <v/>
      </c>
      <c r="J4" s="31" t="str">
        <f>IFERROR(_xlfn.XLOOKUP(A4,'James-Update'!A:A,'James-Update'!T:T,""),"")</f>
        <v/>
      </c>
      <c r="K4" s="31" t="str">
        <f>IFERROR(_xlfn.XLOOKUP(A4,'James-Update'!A:A,'James-Update'!W:W,""),"")</f>
        <v/>
      </c>
      <c r="L4" s="31" t="str">
        <f>IFERROR(_xlfn.XLOOKUP(A4,'James-Update'!A:A,'James-Update'!X:X,""),"")</f>
        <v/>
      </c>
      <c r="M4" s="32" t="str">
        <f t="shared" si="0"/>
        <v/>
      </c>
      <c r="N4" s="32" t="str">
        <f>IFERROR(_xlfn.XLOOKUP(A4,'James-Update'!A:A,'James-Update'!O:O,""),"")</f>
        <v/>
      </c>
    </row>
    <row r="5" spans="1:14" x14ac:dyDescent="0.55000000000000004">
      <c r="A5" t="str">
        <f>IF('James-Update'!A6="","",'James-Update'!A6)</f>
        <v/>
      </c>
      <c r="B5" t="str">
        <f>IF(A5="", "", IF(_xlfn.XLOOKUP(A5, 'James-Update'!A:A, 'James-Update'!E:E, "")="", "", _xlfn.XLOOKUP(A5, 'James-Update'!A:A, 'James-Update'!E:E, "")))</f>
        <v/>
      </c>
      <c r="C5" t="str">
        <f>IFERROR(_xlfn.XLOOKUP(A5,'James-Update'!A:A,'James-Update'!F:F,""),"")</f>
        <v/>
      </c>
      <c r="D5" s="31" t="str">
        <f>IFERROR(_xlfn.XLOOKUP(A5,'James-Update'!A:A,'James-Update'!S:S,""),"")</f>
        <v/>
      </c>
      <c r="E5" s="31" t="str">
        <f>IFERROR(_xlfn.XLOOKUP(A5,'James-Update'!A:A,'James-Update'!I:I,""),"")</f>
        <v/>
      </c>
      <c r="F5" s="31" t="str">
        <f>IFERROR(_xlfn.XLOOKUP(A5,'James-Update'!A:A,'James-Update'!K:K,""),"")</f>
        <v/>
      </c>
      <c r="G5" s="31" t="str">
        <f>IFERROR(_xlfn.XLOOKUP(A5,'James-Update'!A:A,'James-Update'!H:H,""),"")</f>
        <v/>
      </c>
      <c r="H5" s="31" t="str">
        <f>IFERROR(_xlfn.XLOOKUP(A5,'James-Update'!A:A,'James-Update'!J:J,""),"")</f>
        <v/>
      </c>
      <c r="I5" s="31" t="str">
        <f>IFERROR(_xlfn.XLOOKUP(A5,'James-Update'!A:A,'James-Update'!R:R,""),"")</f>
        <v/>
      </c>
      <c r="J5" s="31" t="str">
        <f>IFERROR(_xlfn.XLOOKUP(A5,'James-Update'!A:A,'James-Update'!T:T,""),"")</f>
        <v/>
      </c>
      <c r="K5" s="31" t="str">
        <f>IFERROR(_xlfn.XLOOKUP(A5,'James-Update'!A:A,'James-Update'!W:W,""),"")</f>
        <v/>
      </c>
      <c r="L5" s="31" t="str">
        <f>IFERROR(_xlfn.XLOOKUP(A5,'James-Update'!A:A,'James-Update'!X:X,""),"")</f>
        <v/>
      </c>
      <c r="M5" s="32" t="str">
        <f t="shared" si="0"/>
        <v/>
      </c>
      <c r="N5" s="32" t="str">
        <f>IFERROR(_xlfn.XLOOKUP(A5,'James-Update'!A:A,'James-Update'!O:O,""),"")</f>
        <v/>
      </c>
    </row>
    <row r="6" spans="1:14" x14ac:dyDescent="0.55000000000000004">
      <c r="A6" t="str">
        <f>IF('James-Update'!A7="","",'James-Update'!A7)</f>
        <v/>
      </c>
      <c r="B6" t="str">
        <f>IF(A6="", "", IF(_xlfn.XLOOKUP(A6, 'James-Update'!A:A, 'James-Update'!E:E, "")="", "", _xlfn.XLOOKUP(A6, 'James-Update'!A:A, 'James-Update'!E:E, "")))</f>
        <v/>
      </c>
      <c r="C6" t="str">
        <f>IFERROR(_xlfn.XLOOKUP(A6,'James-Update'!A:A,'James-Update'!F:F,""),"")</f>
        <v/>
      </c>
      <c r="D6" s="31" t="str">
        <f>IFERROR(_xlfn.XLOOKUP(A6,'James-Update'!A:A,'James-Update'!S:S,""),"")</f>
        <v/>
      </c>
      <c r="E6" s="31" t="str">
        <f>IFERROR(_xlfn.XLOOKUP(A6,'James-Update'!A:A,'James-Update'!I:I,""),"")</f>
        <v/>
      </c>
      <c r="F6" s="31" t="str">
        <f>IFERROR(_xlfn.XLOOKUP(A6,'James-Update'!A:A,'James-Update'!K:K,""),"")</f>
        <v/>
      </c>
      <c r="G6" s="31" t="str">
        <f>IFERROR(_xlfn.XLOOKUP(A6,'James-Update'!A:A,'James-Update'!H:H,""),"")</f>
        <v/>
      </c>
      <c r="H6" s="31" t="str">
        <f>IFERROR(_xlfn.XLOOKUP(A6,'James-Update'!A:A,'James-Update'!J:J,""),"")</f>
        <v/>
      </c>
      <c r="I6" s="31" t="str">
        <f>IFERROR(_xlfn.XLOOKUP(A6,'James-Update'!A:A,'James-Update'!R:R,""),"")</f>
        <v/>
      </c>
      <c r="J6" s="31" t="str">
        <f>IFERROR(_xlfn.XLOOKUP(A6,'James-Update'!A:A,'James-Update'!T:T,""),"")</f>
        <v/>
      </c>
      <c r="K6" s="31" t="str">
        <f>IFERROR(_xlfn.XLOOKUP(A6,'James-Update'!A:A,'James-Update'!W:W,""),"")</f>
        <v/>
      </c>
      <c r="L6" s="31" t="str">
        <f>IFERROR(_xlfn.XLOOKUP(A6,'James-Update'!A:A,'James-Update'!X:X,""),"")</f>
        <v/>
      </c>
      <c r="M6" s="32" t="str">
        <f t="shared" si="0"/>
        <v/>
      </c>
      <c r="N6" s="32" t="str">
        <f>IFERROR(_xlfn.XLOOKUP(A6,'James-Update'!A:A,'James-Update'!O:O,""),"")</f>
        <v/>
      </c>
    </row>
    <row r="7" spans="1:14" x14ac:dyDescent="0.55000000000000004">
      <c r="A7" t="str">
        <f>IF('James-Update'!A8="","",'James-Update'!A8)</f>
        <v/>
      </c>
      <c r="B7" t="str">
        <f>IF(A7="", "", IF(_xlfn.XLOOKUP(A7, 'James-Update'!A:A, 'James-Update'!E:E, "")="", "", _xlfn.XLOOKUP(A7, 'James-Update'!A:A, 'James-Update'!E:E, "")))</f>
        <v/>
      </c>
      <c r="C7" t="str">
        <f>IFERROR(_xlfn.XLOOKUP(A7,'James-Update'!A:A,'James-Update'!F:F,""),"")</f>
        <v/>
      </c>
      <c r="D7" s="31" t="str">
        <f>IFERROR(_xlfn.XLOOKUP(A7,'James-Update'!A:A,'James-Update'!S:S,""),"")</f>
        <v/>
      </c>
      <c r="E7" s="31" t="str">
        <f>IFERROR(_xlfn.XLOOKUP(A7,'James-Update'!A:A,'James-Update'!I:I,""),"")</f>
        <v/>
      </c>
      <c r="F7" s="31" t="str">
        <f>IFERROR(_xlfn.XLOOKUP(A7,'James-Update'!A:A,'James-Update'!K:K,""),"")</f>
        <v/>
      </c>
      <c r="G7" s="31" t="str">
        <f>IFERROR(_xlfn.XLOOKUP(A7,'James-Update'!A:A,'James-Update'!H:H,""),"")</f>
        <v/>
      </c>
      <c r="H7" s="31" t="str">
        <f>IFERROR(_xlfn.XLOOKUP(A7,'James-Update'!A:A,'James-Update'!J:J,""),"")</f>
        <v/>
      </c>
      <c r="I7" s="31" t="str">
        <f>IFERROR(_xlfn.XLOOKUP(A7,'James-Update'!A:A,'James-Update'!R:R,""),"")</f>
        <v/>
      </c>
      <c r="J7" s="31" t="str">
        <f>IFERROR(_xlfn.XLOOKUP(A7,'James-Update'!A:A,'James-Update'!T:T,""),"")</f>
        <v/>
      </c>
      <c r="K7" s="31" t="str">
        <f>IFERROR(_xlfn.XLOOKUP(A7,'James-Update'!A:A,'James-Update'!W:W,""),"")</f>
        <v/>
      </c>
      <c r="L7" s="31" t="str">
        <f>IFERROR(_xlfn.XLOOKUP(A7,'James-Update'!A:A,'James-Update'!X:X,""),"")</f>
        <v/>
      </c>
      <c r="M7" s="32" t="str">
        <f t="shared" si="0"/>
        <v/>
      </c>
      <c r="N7" s="32" t="str">
        <f>IFERROR(_xlfn.XLOOKUP(A7,'James-Update'!A:A,'James-Update'!O:O,""),"")</f>
        <v/>
      </c>
    </row>
    <row r="8" spans="1:14" x14ac:dyDescent="0.55000000000000004">
      <c r="A8" t="str">
        <f>IF('James-Update'!A9="","",'James-Update'!A9)</f>
        <v/>
      </c>
      <c r="B8" t="str">
        <f>IF(A8="", "", IF(_xlfn.XLOOKUP(A8, 'James-Update'!A:A, 'James-Update'!E:E, "")="", "", _xlfn.XLOOKUP(A8, 'James-Update'!A:A, 'James-Update'!E:E, "")))</f>
        <v/>
      </c>
      <c r="C8" t="str">
        <f>IFERROR(_xlfn.XLOOKUP(A8,'James-Update'!A:A,'James-Update'!F:F,""),"")</f>
        <v/>
      </c>
      <c r="D8" s="31" t="str">
        <f>IFERROR(_xlfn.XLOOKUP(A8,'James-Update'!A:A,'James-Update'!S:S,""),"")</f>
        <v/>
      </c>
      <c r="E8" s="31" t="str">
        <f>IFERROR(_xlfn.XLOOKUP(A8,'James-Update'!A:A,'James-Update'!I:I,""),"")</f>
        <v/>
      </c>
      <c r="F8" s="31" t="str">
        <f>IFERROR(_xlfn.XLOOKUP(A8,'James-Update'!A:A,'James-Update'!K:K,""),"")</f>
        <v/>
      </c>
      <c r="G8" s="31" t="str">
        <f>IFERROR(_xlfn.XLOOKUP(A8,'James-Update'!A:A,'James-Update'!H:H,""),"")</f>
        <v/>
      </c>
      <c r="H8" s="31" t="str">
        <f>IFERROR(_xlfn.XLOOKUP(A8,'James-Update'!A:A,'James-Update'!J:J,""),"")</f>
        <v/>
      </c>
      <c r="I8" s="31" t="str">
        <f>IFERROR(_xlfn.XLOOKUP(A8,'James-Update'!A:A,'James-Update'!R:R,""),"")</f>
        <v/>
      </c>
      <c r="J8" s="31" t="str">
        <f>IFERROR(_xlfn.XLOOKUP(A8,'James-Update'!A:A,'James-Update'!T:T,""),"")</f>
        <v/>
      </c>
      <c r="K8" s="31" t="str">
        <f>IFERROR(_xlfn.XLOOKUP(A8,'James-Update'!A:A,'James-Update'!W:W,""),"")</f>
        <v/>
      </c>
      <c r="L8" s="31" t="str">
        <f>IFERROR(_xlfn.XLOOKUP(A8,'James-Update'!A:A,'James-Update'!X:X,""),"")</f>
        <v/>
      </c>
      <c r="M8" s="32" t="str">
        <f t="shared" si="0"/>
        <v/>
      </c>
      <c r="N8" s="32" t="str">
        <f>IFERROR(_xlfn.XLOOKUP(A8,'James-Update'!A:A,'James-Update'!O:O,""),"")</f>
        <v/>
      </c>
    </row>
    <row r="9" spans="1:14" x14ac:dyDescent="0.55000000000000004">
      <c r="A9" t="str">
        <f>IF('James-Update'!A10="","",'James-Update'!A10)</f>
        <v/>
      </c>
      <c r="B9" t="str">
        <f>IF(A9="", "", IF(_xlfn.XLOOKUP(A9, 'James-Update'!A:A, 'James-Update'!E:E, "")="", "", _xlfn.XLOOKUP(A9, 'James-Update'!A:A, 'James-Update'!E:E, "")))</f>
        <v/>
      </c>
      <c r="C9" t="str">
        <f>IFERROR(_xlfn.XLOOKUP(A9,'James-Update'!A:A,'James-Update'!F:F,""),"")</f>
        <v/>
      </c>
      <c r="D9" s="31" t="str">
        <f>IFERROR(_xlfn.XLOOKUP(A9,'James-Update'!A:A,'James-Update'!S:S,""),"")</f>
        <v/>
      </c>
      <c r="E9" s="31" t="str">
        <f>IFERROR(_xlfn.XLOOKUP(A9,'James-Update'!A:A,'James-Update'!I:I,""),"")</f>
        <v/>
      </c>
      <c r="F9" s="31" t="str">
        <f>IFERROR(_xlfn.XLOOKUP(A9,'James-Update'!A:A,'James-Update'!K:K,""),"")</f>
        <v/>
      </c>
      <c r="G9" s="31" t="str">
        <f>IFERROR(_xlfn.XLOOKUP(A9,'James-Update'!A:A,'James-Update'!H:H,""),"")</f>
        <v/>
      </c>
      <c r="H9" s="31" t="str">
        <f>IFERROR(_xlfn.XLOOKUP(A9,'James-Update'!A:A,'James-Update'!J:J,""),"")</f>
        <v/>
      </c>
      <c r="I9" s="31" t="str">
        <f>IFERROR(_xlfn.XLOOKUP(A9,'James-Update'!A:A,'James-Update'!R:R,""),"")</f>
        <v/>
      </c>
      <c r="J9" s="31" t="str">
        <f>IFERROR(_xlfn.XLOOKUP(A9,'James-Update'!A:A,'James-Update'!T:T,""),"")</f>
        <v/>
      </c>
      <c r="K9" s="31" t="str">
        <f>IFERROR(_xlfn.XLOOKUP(A9,'James-Update'!A:A,'James-Update'!W:W,""),"")</f>
        <v/>
      </c>
      <c r="L9" s="31" t="str">
        <f>IFERROR(_xlfn.XLOOKUP(A9,'James-Update'!A:A,'James-Update'!X:X,""),"")</f>
        <v/>
      </c>
      <c r="M9" s="32" t="str">
        <f t="shared" si="0"/>
        <v/>
      </c>
      <c r="N9" s="32" t="str">
        <f>IFERROR(_xlfn.XLOOKUP(A9,'James-Update'!A:A,'James-Update'!O:O,""),"")</f>
        <v/>
      </c>
    </row>
    <row r="10" spans="1:14" x14ac:dyDescent="0.55000000000000004">
      <c r="A10" t="str">
        <f>IF('James-Update'!A11="","",'James-Update'!A11)</f>
        <v/>
      </c>
      <c r="B10" t="str">
        <f>IF(A10="", "", IF(_xlfn.XLOOKUP(A10, 'James-Update'!A:A, 'James-Update'!E:E, "")="", "", _xlfn.XLOOKUP(A10, 'James-Update'!A:A, 'James-Update'!E:E, "")))</f>
        <v/>
      </c>
      <c r="C10" t="str">
        <f>IFERROR(_xlfn.XLOOKUP(A10,'James-Update'!A:A,'James-Update'!F:F,""),"")</f>
        <v/>
      </c>
      <c r="D10" s="31" t="str">
        <f>IFERROR(_xlfn.XLOOKUP(A10,'James-Update'!A:A,'James-Update'!S:S,""),"")</f>
        <v/>
      </c>
      <c r="E10" s="31" t="str">
        <f>IFERROR(_xlfn.XLOOKUP(A10,'James-Update'!A:A,'James-Update'!I:I,""),"")</f>
        <v/>
      </c>
      <c r="F10" s="31" t="str">
        <f>IFERROR(_xlfn.XLOOKUP(A10,'James-Update'!A:A,'James-Update'!K:K,""),"")</f>
        <v/>
      </c>
      <c r="G10" s="31" t="str">
        <f>IFERROR(_xlfn.XLOOKUP(A10,'James-Update'!A:A,'James-Update'!H:H,""),"")</f>
        <v/>
      </c>
      <c r="H10" s="31" t="str">
        <f>IFERROR(_xlfn.XLOOKUP(A10,'James-Update'!A:A,'James-Update'!J:J,""),"")</f>
        <v/>
      </c>
      <c r="I10" s="31" t="str">
        <f>IFERROR(_xlfn.XLOOKUP(A10,'James-Update'!A:A,'James-Update'!R:R,""),"")</f>
        <v/>
      </c>
      <c r="J10" s="31" t="str">
        <f>IFERROR(_xlfn.XLOOKUP(A10,'James-Update'!A:A,'James-Update'!T:T,""),"")</f>
        <v/>
      </c>
      <c r="K10" s="31" t="str">
        <f>IFERROR(_xlfn.XLOOKUP(A10,'James-Update'!A:A,'James-Update'!W:W,""),"")</f>
        <v/>
      </c>
      <c r="L10" s="31" t="str">
        <f>IFERROR(_xlfn.XLOOKUP(A10,'James-Update'!A:A,'James-Update'!X:X,""),"")</f>
        <v/>
      </c>
      <c r="M10" s="32" t="str">
        <f t="shared" si="0"/>
        <v/>
      </c>
      <c r="N10" s="32" t="str">
        <f>IFERROR(_xlfn.XLOOKUP(A10,'James-Update'!A:A,'James-Update'!O:O,""),"")</f>
        <v/>
      </c>
    </row>
    <row r="11" spans="1:14" x14ac:dyDescent="0.55000000000000004">
      <c r="A11" t="str">
        <f>IF('James-Update'!A12="","",'James-Update'!A12)</f>
        <v/>
      </c>
      <c r="B11" t="str">
        <f>IF(A11="", "", IF(_xlfn.XLOOKUP(A11, 'James-Update'!A:A, 'James-Update'!E:E, "")="", "", _xlfn.XLOOKUP(A11, 'James-Update'!A:A, 'James-Update'!E:E, "")))</f>
        <v/>
      </c>
      <c r="C11" t="str">
        <f>IFERROR(_xlfn.XLOOKUP(A11,'James-Update'!A:A,'James-Update'!F:F,""),"")</f>
        <v/>
      </c>
      <c r="D11" s="31" t="str">
        <f>IFERROR(_xlfn.XLOOKUP(A11,'James-Update'!A:A,'James-Update'!S:S,""),"")</f>
        <v/>
      </c>
      <c r="E11" s="31" t="str">
        <f>IFERROR(_xlfn.XLOOKUP(A11,'James-Update'!A:A,'James-Update'!I:I,""),"")</f>
        <v/>
      </c>
      <c r="F11" s="31" t="str">
        <f>IFERROR(_xlfn.XLOOKUP(A11,'James-Update'!A:A,'James-Update'!K:K,""),"")</f>
        <v/>
      </c>
      <c r="G11" s="31" t="str">
        <f>IFERROR(_xlfn.XLOOKUP(A11,'James-Update'!A:A,'James-Update'!H:H,""),"")</f>
        <v/>
      </c>
      <c r="H11" s="31" t="str">
        <f>IFERROR(_xlfn.XLOOKUP(A11,'James-Update'!A:A,'James-Update'!J:J,""),"")</f>
        <v/>
      </c>
      <c r="I11" s="31" t="str">
        <f>IFERROR(_xlfn.XLOOKUP(A11,'James-Update'!A:A,'James-Update'!R:R,""),"")</f>
        <v/>
      </c>
      <c r="J11" s="31" t="str">
        <f>IFERROR(_xlfn.XLOOKUP(A11,'James-Update'!A:A,'James-Update'!T:T,""),"")</f>
        <v/>
      </c>
      <c r="K11" s="31" t="str">
        <f>IFERROR(_xlfn.XLOOKUP(A11,'James-Update'!A:A,'James-Update'!W:W,""),"")</f>
        <v/>
      </c>
      <c r="L11" s="31" t="str">
        <f>IFERROR(_xlfn.XLOOKUP(A11,'James-Update'!A:A,'James-Update'!X:X,""),"")</f>
        <v/>
      </c>
      <c r="M11" s="32" t="str">
        <f t="shared" si="0"/>
        <v/>
      </c>
      <c r="N11" s="32" t="str">
        <f>IFERROR(_xlfn.XLOOKUP(A11,'James-Update'!A:A,'James-Update'!O:O,""),"")</f>
        <v/>
      </c>
    </row>
    <row r="12" spans="1:14" x14ac:dyDescent="0.55000000000000004">
      <c r="A12" t="str">
        <f>IF('James-Update'!A13="","",'James-Update'!A13)</f>
        <v/>
      </c>
      <c r="B12" t="str">
        <f>IF(A12="", "", IF(_xlfn.XLOOKUP(A12, 'James-Update'!A:A, 'James-Update'!E:E, "")="", "", _xlfn.XLOOKUP(A12, 'James-Update'!A:A, 'James-Update'!E:E, "")))</f>
        <v/>
      </c>
      <c r="C12" t="str">
        <f>IFERROR(_xlfn.XLOOKUP(A12,'James-Update'!A:A,'James-Update'!F:F,""),"")</f>
        <v/>
      </c>
      <c r="D12" s="31" t="str">
        <f>IFERROR(_xlfn.XLOOKUP(A12,'James-Update'!A:A,'James-Update'!S:S,""),"")</f>
        <v/>
      </c>
      <c r="E12" s="31" t="str">
        <f>IFERROR(_xlfn.XLOOKUP(A12,'James-Update'!A:A,'James-Update'!I:I,""),"")</f>
        <v/>
      </c>
      <c r="F12" s="31" t="str">
        <f>IFERROR(_xlfn.XLOOKUP(A12,'James-Update'!A:A,'James-Update'!K:K,""),"")</f>
        <v/>
      </c>
      <c r="G12" s="31" t="str">
        <f>IFERROR(_xlfn.XLOOKUP(A12,'James-Update'!A:A,'James-Update'!H:H,""),"")</f>
        <v/>
      </c>
      <c r="H12" s="31" t="str">
        <f>IFERROR(_xlfn.XLOOKUP(A12,'James-Update'!A:A,'James-Update'!J:J,""),"")</f>
        <v/>
      </c>
      <c r="I12" s="31" t="str">
        <f>IFERROR(_xlfn.XLOOKUP(A12,'James-Update'!A:A,'James-Update'!R:R,""),"")</f>
        <v/>
      </c>
      <c r="J12" s="31" t="str">
        <f>IFERROR(_xlfn.XLOOKUP(A12,'James-Update'!A:A,'James-Update'!T:T,""),"")</f>
        <v/>
      </c>
      <c r="K12" s="31" t="str">
        <f>IFERROR(_xlfn.XLOOKUP(A12,'James-Update'!A:A,'James-Update'!W:W,""),"")</f>
        <v/>
      </c>
      <c r="L12" s="31" t="str">
        <f>IFERROR(_xlfn.XLOOKUP(A12,'James-Update'!A:A,'James-Update'!X:X,""),"")</f>
        <v/>
      </c>
      <c r="M12" s="32" t="str">
        <f t="shared" si="0"/>
        <v/>
      </c>
      <c r="N12" s="32" t="str">
        <f>IFERROR(_xlfn.XLOOKUP(A12,'James-Update'!A:A,'James-Update'!O:O,""),"")</f>
        <v/>
      </c>
    </row>
    <row r="13" spans="1:14" x14ac:dyDescent="0.55000000000000004">
      <c r="A13" t="str">
        <f>IF('James-Update'!A14="","",'James-Update'!A14)</f>
        <v/>
      </c>
      <c r="B13" t="str">
        <f>IF(A13="", "", IF(_xlfn.XLOOKUP(A13, 'James-Update'!A:A, 'James-Update'!E:E, "")="", "", _xlfn.XLOOKUP(A13, 'James-Update'!A:A, 'James-Update'!E:E, "")))</f>
        <v/>
      </c>
      <c r="C13" t="str">
        <f>IFERROR(_xlfn.XLOOKUP(A13,'James-Update'!A:A,'James-Update'!F:F,""),"")</f>
        <v/>
      </c>
      <c r="D13" s="31" t="str">
        <f>IFERROR(_xlfn.XLOOKUP(A13,'James-Update'!A:A,'James-Update'!S:S,""),"")</f>
        <v/>
      </c>
      <c r="E13" s="31" t="str">
        <f>IFERROR(_xlfn.XLOOKUP(A13,'James-Update'!A:A,'James-Update'!I:I,""),"")</f>
        <v/>
      </c>
      <c r="F13" s="31" t="str">
        <f>IFERROR(_xlfn.XLOOKUP(A13,'James-Update'!A:A,'James-Update'!K:K,""),"")</f>
        <v/>
      </c>
      <c r="G13" s="31" t="str">
        <f>IFERROR(_xlfn.XLOOKUP(A13,'James-Update'!A:A,'James-Update'!H:H,""),"")</f>
        <v/>
      </c>
      <c r="H13" s="31" t="str">
        <f>IFERROR(_xlfn.XLOOKUP(A13,'James-Update'!A:A,'James-Update'!J:J,""),"")</f>
        <v/>
      </c>
      <c r="I13" s="31" t="str">
        <f>IFERROR(_xlfn.XLOOKUP(A13,'James-Update'!A:A,'James-Update'!R:R,""),"")</f>
        <v/>
      </c>
      <c r="J13" s="31" t="str">
        <f>IFERROR(_xlfn.XLOOKUP(A13,'James-Update'!A:A,'James-Update'!T:T,""),"")</f>
        <v/>
      </c>
      <c r="K13" s="31" t="str">
        <f>IFERROR(_xlfn.XLOOKUP(A13,'James-Update'!A:A,'James-Update'!W:W,""),"")</f>
        <v/>
      </c>
      <c r="L13" s="31" t="str">
        <f>IFERROR(_xlfn.XLOOKUP(A13,'James-Update'!A:A,'James-Update'!X:X,""),"")</f>
        <v/>
      </c>
      <c r="M13" s="32" t="str">
        <f t="shared" si="0"/>
        <v/>
      </c>
      <c r="N13" s="32" t="str">
        <f>IFERROR(_xlfn.XLOOKUP(A13,'James-Update'!A:A,'James-Update'!O:O,""),"")</f>
        <v/>
      </c>
    </row>
    <row r="14" spans="1:14" x14ac:dyDescent="0.55000000000000004">
      <c r="A14" t="str">
        <f>IF('James-Update'!A15="","",'James-Update'!A15)</f>
        <v/>
      </c>
      <c r="B14" t="str">
        <f>IF(A14="", "", IF(_xlfn.XLOOKUP(A14, 'James-Update'!A:A, 'James-Update'!E:E, "")="", "", _xlfn.XLOOKUP(A14, 'James-Update'!A:A, 'James-Update'!E:E, "")))</f>
        <v/>
      </c>
      <c r="C14" t="str">
        <f>IFERROR(_xlfn.XLOOKUP(A14,'James-Update'!A:A,'James-Update'!F:F,""),"")</f>
        <v/>
      </c>
      <c r="D14" s="31" t="str">
        <f>IFERROR(_xlfn.XLOOKUP(A14,'James-Update'!A:A,'James-Update'!S:S,""),"")</f>
        <v/>
      </c>
      <c r="E14" s="31" t="str">
        <f>IFERROR(_xlfn.XLOOKUP(A14,'James-Update'!A:A,'James-Update'!I:I,""),"")</f>
        <v/>
      </c>
      <c r="F14" s="31" t="str">
        <f>IFERROR(_xlfn.XLOOKUP(A14,'James-Update'!A:A,'James-Update'!K:K,""),"")</f>
        <v/>
      </c>
      <c r="G14" s="31" t="str">
        <f>IFERROR(_xlfn.XLOOKUP(A14,'James-Update'!A:A,'James-Update'!H:H,""),"")</f>
        <v/>
      </c>
      <c r="H14" s="31" t="str">
        <f>IFERROR(_xlfn.XLOOKUP(A14,'James-Update'!A:A,'James-Update'!J:J,""),"")</f>
        <v/>
      </c>
      <c r="I14" s="31" t="str">
        <f>IFERROR(_xlfn.XLOOKUP(A14,'James-Update'!A:A,'James-Update'!R:R,""),"")</f>
        <v/>
      </c>
      <c r="J14" s="31" t="str">
        <f>IFERROR(_xlfn.XLOOKUP(A14,'James-Update'!A:A,'James-Update'!T:T,""),"")</f>
        <v/>
      </c>
      <c r="K14" s="31" t="str">
        <f>IFERROR(_xlfn.XLOOKUP(A14,'James-Update'!A:A,'James-Update'!W:W,""),"")</f>
        <v/>
      </c>
      <c r="L14" s="31" t="str">
        <f>IFERROR(_xlfn.XLOOKUP(A14,'James-Update'!A:A,'James-Update'!X:X,""),"")</f>
        <v/>
      </c>
      <c r="M14" s="32" t="str">
        <f t="shared" si="0"/>
        <v/>
      </c>
      <c r="N14" s="32" t="str">
        <f>IFERROR(_xlfn.XLOOKUP(A14,'James-Update'!A:A,'James-Update'!O:O,""),"")</f>
        <v/>
      </c>
    </row>
    <row r="15" spans="1:14" x14ac:dyDescent="0.55000000000000004">
      <c r="A15" t="str">
        <f>IF('James-Update'!A16="","",'James-Update'!A16)</f>
        <v/>
      </c>
      <c r="B15" t="str">
        <f>IF(A15="", "", IF(_xlfn.XLOOKUP(A15, 'James-Update'!A:A, 'James-Update'!E:E, "")="", "", _xlfn.XLOOKUP(A15, 'James-Update'!A:A, 'James-Update'!E:E, "")))</f>
        <v/>
      </c>
      <c r="C15" t="str">
        <f>IFERROR(_xlfn.XLOOKUP(A15,'James-Update'!A:A,'James-Update'!F:F,""),"")</f>
        <v/>
      </c>
      <c r="D15" s="31" t="str">
        <f>IFERROR(_xlfn.XLOOKUP(A15,'James-Update'!A:A,'James-Update'!S:S,""),"")</f>
        <v/>
      </c>
      <c r="E15" s="31" t="str">
        <f>IFERROR(_xlfn.XLOOKUP(A15,'James-Update'!A:A,'James-Update'!I:I,""),"")</f>
        <v/>
      </c>
      <c r="F15" s="31" t="str">
        <f>IFERROR(_xlfn.XLOOKUP(A15,'James-Update'!A:A,'James-Update'!K:K,""),"")</f>
        <v/>
      </c>
      <c r="G15" s="31" t="str">
        <f>IFERROR(_xlfn.XLOOKUP(A15,'James-Update'!A:A,'James-Update'!H:H,""),"")</f>
        <v/>
      </c>
      <c r="H15" s="31" t="str">
        <f>IFERROR(_xlfn.XLOOKUP(A15,'James-Update'!A:A,'James-Update'!J:J,""),"")</f>
        <v/>
      </c>
      <c r="I15" s="31" t="str">
        <f>IFERROR(_xlfn.XLOOKUP(A15,'James-Update'!A:A,'James-Update'!R:R,""),"")</f>
        <v/>
      </c>
      <c r="J15" s="31" t="str">
        <f>IFERROR(_xlfn.XLOOKUP(A15,'James-Update'!A:A,'James-Update'!T:T,""),"")</f>
        <v/>
      </c>
      <c r="K15" s="31" t="str">
        <f>IFERROR(_xlfn.XLOOKUP(A15,'James-Update'!A:A,'James-Update'!W:W,""),"")</f>
        <v/>
      </c>
      <c r="L15" s="31" t="str">
        <f>IFERROR(_xlfn.XLOOKUP(A15,'James-Update'!A:A,'James-Update'!X:X,""),"")</f>
        <v/>
      </c>
      <c r="M15" s="32" t="str">
        <f t="shared" si="0"/>
        <v/>
      </c>
      <c r="N15" s="32" t="str">
        <f>IFERROR(_xlfn.XLOOKUP(A15,'James-Update'!A:A,'James-Update'!O:O,""),"")</f>
        <v/>
      </c>
    </row>
    <row r="16" spans="1:14" x14ac:dyDescent="0.55000000000000004">
      <c r="A16" t="str">
        <f>IF('James-Update'!A17="","",'James-Update'!A17)</f>
        <v/>
      </c>
      <c r="B16" t="str">
        <f>IF(A16="", "", IF(_xlfn.XLOOKUP(A16, 'James-Update'!A:A, 'James-Update'!E:E, "")="", "", _xlfn.XLOOKUP(A16, 'James-Update'!A:A, 'James-Update'!E:E, "")))</f>
        <v/>
      </c>
      <c r="C16" t="str">
        <f>IFERROR(_xlfn.XLOOKUP(A16,'James-Update'!A:A,'James-Update'!F:F,""),"")</f>
        <v/>
      </c>
      <c r="D16" s="31" t="str">
        <f>IFERROR(_xlfn.XLOOKUP(A16,'James-Update'!A:A,'James-Update'!S:S,""),"")</f>
        <v/>
      </c>
      <c r="E16" s="31" t="str">
        <f>IFERROR(_xlfn.XLOOKUP(A16,'James-Update'!A:A,'James-Update'!I:I,""),"")</f>
        <v/>
      </c>
      <c r="F16" s="31" t="str">
        <f>IFERROR(_xlfn.XLOOKUP(A16,'James-Update'!A:A,'James-Update'!K:K,""),"")</f>
        <v/>
      </c>
      <c r="G16" s="31" t="str">
        <f>IFERROR(_xlfn.XLOOKUP(A16,'James-Update'!A:A,'James-Update'!H:H,""),"")</f>
        <v/>
      </c>
      <c r="H16" s="31" t="str">
        <f>IFERROR(_xlfn.XLOOKUP(A16,'James-Update'!A:A,'James-Update'!J:J,""),"")</f>
        <v/>
      </c>
      <c r="I16" s="31" t="str">
        <f>IFERROR(_xlfn.XLOOKUP(A16,'James-Update'!A:A,'James-Update'!R:R,""),"")</f>
        <v/>
      </c>
      <c r="J16" s="31" t="str">
        <f>IFERROR(_xlfn.XLOOKUP(A16,'James-Update'!A:A,'James-Update'!T:T,""),"")</f>
        <v/>
      </c>
      <c r="K16" s="31" t="str">
        <f>IFERROR(_xlfn.XLOOKUP(A16,'James-Update'!A:A,'James-Update'!W:W,""),"")</f>
        <v/>
      </c>
      <c r="L16" s="31" t="str">
        <f>IFERROR(_xlfn.XLOOKUP(A16,'James-Update'!A:A,'James-Update'!X:X,""),"")</f>
        <v/>
      </c>
      <c r="M16" s="32" t="str">
        <f t="shared" si="0"/>
        <v/>
      </c>
      <c r="N16" s="32" t="str">
        <f>IFERROR(_xlfn.XLOOKUP(A16,'James-Update'!A:A,'James-Update'!O:O,""),"")</f>
        <v/>
      </c>
    </row>
    <row r="17" spans="1:14" x14ac:dyDescent="0.55000000000000004">
      <c r="A17" t="str">
        <f>IF('James-Update'!A18="","",'James-Update'!A18)</f>
        <v/>
      </c>
      <c r="B17" t="str">
        <f>IF(A17="", "", IF(_xlfn.XLOOKUP(A17, 'James-Update'!A:A, 'James-Update'!E:E, "")="", "", _xlfn.XLOOKUP(A17, 'James-Update'!A:A, 'James-Update'!E:E, "")))</f>
        <v/>
      </c>
      <c r="C17" t="str">
        <f>IFERROR(_xlfn.XLOOKUP(A17,'James-Update'!A:A,'James-Update'!F:F,""),"")</f>
        <v/>
      </c>
      <c r="D17" s="31" t="str">
        <f>IFERROR(_xlfn.XLOOKUP(A17,'James-Update'!A:A,'James-Update'!S:S,""),"")</f>
        <v/>
      </c>
      <c r="E17" s="31" t="str">
        <f>IFERROR(_xlfn.XLOOKUP(A17,'James-Update'!A:A,'James-Update'!I:I,""),"")</f>
        <v/>
      </c>
      <c r="F17" s="31" t="str">
        <f>IFERROR(_xlfn.XLOOKUP(A17,'James-Update'!A:A,'James-Update'!K:K,""),"")</f>
        <v/>
      </c>
      <c r="G17" s="31" t="str">
        <f>IFERROR(_xlfn.XLOOKUP(A17,'James-Update'!A:A,'James-Update'!H:H,""),"")</f>
        <v/>
      </c>
      <c r="H17" s="31" t="str">
        <f>IFERROR(_xlfn.XLOOKUP(A17,'James-Update'!A:A,'James-Update'!J:J,""),"")</f>
        <v/>
      </c>
      <c r="I17" s="31" t="str">
        <f>IFERROR(_xlfn.XLOOKUP(A17,'James-Update'!A:A,'James-Update'!R:R,""),"")</f>
        <v/>
      </c>
      <c r="J17" s="31" t="str">
        <f>IFERROR(_xlfn.XLOOKUP(A17,'James-Update'!A:A,'James-Update'!T:T,""),"")</f>
        <v/>
      </c>
      <c r="K17" s="31" t="str">
        <f>IFERROR(_xlfn.XLOOKUP(A17,'James-Update'!A:A,'James-Update'!W:W,""),"")</f>
        <v/>
      </c>
      <c r="L17" s="31" t="str">
        <f>IFERROR(_xlfn.XLOOKUP(A17,'James-Update'!A:A,'James-Update'!X:X,""),"")</f>
        <v/>
      </c>
      <c r="M17" s="32" t="str">
        <f t="shared" si="0"/>
        <v/>
      </c>
      <c r="N17" s="32" t="str">
        <f>IFERROR(_xlfn.XLOOKUP(A17,'James-Update'!A:A,'James-Update'!O:O,""),"")</f>
        <v/>
      </c>
    </row>
    <row r="18" spans="1:14" x14ac:dyDescent="0.55000000000000004">
      <c r="A18" t="str">
        <f>IF('James-Update'!A19="","",'James-Update'!A19)</f>
        <v/>
      </c>
      <c r="B18" t="str">
        <f>IF(A18="", "", IF(_xlfn.XLOOKUP(A18, 'James-Update'!A:A, 'James-Update'!E:E, "")="", "", _xlfn.XLOOKUP(A18, 'James-Update'!A:A, 'James-Update'!E:E, "")))</f>
        <v/>
      </c>
      <c r="C18" t="str">
        <f>IFERROR(_xlfn.XLOOKUP(A18,'James-Update'!A:A,'James-Update'!F:F,""),"")</f>
        <v/>
      </c>
      <c r="D18" s="31" t="str">
        <f>IFERROR(_xlfn.XLOOKUP(A18,'James-Update'!A:A,'James-Update'!S:S,""),"")</f>
        <v/>
      </c>
      <c r="E18" s="31" t="str">
        <f>IFERROR(_xlfn.XLOOKUP(A18,'James-Update'!A:A,'James-Update'!I:I,""),"")</f>
        <v/>
      </c>
      <c r="F18" s="31" t="str">
        <f>IFERROR(_xlfn.XLOOKUP(A18,'James-Update'!A:A,'James-Update'!K:K,""),"")</f>
        <v/>
      </c>
      <c r="G18" s="31" t="str">
        <f>IFERROR(_xlfn.XLOOKUP(A18,'James-Update'!A:A,'James-Update'!H:H,""),"")</f>
        <v/>
      </c>
      <c r="H18" s="31" t="str">
        <f>IFERROR(_xlfn.XLOOKUP(A18,'James-Update'!A:A,'James-Update'!J:J,""),"")</f>
        <v/>
      </c>
      <c r="I18" s="31" t="str">
        <f>IFERROR(_xlfn.XLOOKUP(A18,'James-Update'!A:A,'James-Update'!R:R,""),"")</f>
        <v/>
      </c>
      <c r="J18" s="31" t="str">
        <f>IFERROR(_xlfn.XLOOKUP(A18,'James-Update'!A:A,'James-Update'!T:T,""),"")</f>
        <v/>
      </c>
      <c r="K18" s="31" t="str">
        <f>IFERROR(_xlfn.XLOOKUP(A18,'James-Update'!A:A,'James-Update'!W:W,""),"")</f>
        <v/>
      </c>
      <c r="L18" s="31" t="str">
        <f>IFERROR(_xlfn.XLOOKUP(A18,'James-Update'!A:A,'James-Update'!X:X,""),"")</f>
        <v/>
      </c>
      <c r="M18" s="32" t="str">
        <f t="shared" si="0"/>
        <v/>
      </c>
      <c r="N18" s="32" t="str">
        <f>IFERROR(_xlfn.XLOOKUP(A18,'James-Update'!A:A,'James-Update'!O:O,""),"")</f>
        <v/>
      </c>
    </row>
    <row r="19" spans="1:14" x14ac:dyDescent="0.55000000000000004">
      <c r="A19" t="str">
        <f>IF('James-Update'!A20="","",'James-Update'!A20)</f>
        <v>CHG0246640</v>
      </c>
      <c r="B19" t="str">
        <f>IF(A19="", "", IF(_xlfn.XLOOKUP(A19, 'James-Update'!A:A, 'James-Update'!E:E, "")="", "", _xlfn.XLOOKUP(A19, 'James-Update'!A:A, 'James-Update'!E:E, "")))</f>
        <v>ALRAJHI04</v>
      </c>
      <c r="C19" t="str">
        <f>IFERROR(_xlfn.XLOOKUP(A19,'James-Update'!A:A,'James-Update'!F:F,""),"")</f>
        <v>IFX_2.1</v>
      </c>
      <c r="D19" s="31">
        <f>IFERROR(_xlfn.XLOOKUP(A19,'James-Update'!A:A,'James-Update'!S:S,""),"")</f>
        <v>209.2</v>
      </c>
      <c r="E19" s="31">
        <f>IFERROR(_xlfn.XLOOKUP(A19,'James-Update'!A:A,'James-Update'!I:I,""),"")</f>
        <v>288</v>
      </c>
      <c r="F19" s="31">
        <f>IFERROR(_xlfn.XLOOKUP(A19,'James-Update'!A:A,'James-Update'!K:K,""),"")</f>
        <v>576</v>
      </c>
      <c r="G19" s="31">
        <f>IFERROR(_xlfn.XLOOKUP(A19,'James-Update'!A:A,'James-Update'!H:H,""),"")</f>
        <v>6</v>
      </c>
      <c r="H19" s="31">
        <f>IFERROR(_xlfn.XLOOKUP(A19,'James-Update'!A:A,'James-Update'!J:J,""),"")</f>
        <v>6</v>
      </c>
      <c r="I19" s="31">
        <f>IFERROR(_xlfn.XLOOKUP(A19,'James-Update'!A:A,'James-Update'!R:R,""),"")</f>
        <v>4.24</v>
      </c>
      <c r="J19" s="31">
        <f>IFERROR(_xlfn.XLOOKUP(A19,'James-Update'!A:A,'James-Update'!T:T,""),"")</f>
        <v>7055</v>
      </c>
      <c r="K19" s="31">
        <f>IFERROR(_xlfn.XLOOKUP(A19,'James-Update'!A:A,'James-Update'!W:W,""),"")</f>
        <v>11029</v>
      </c>
      <c r="L19" s="31">
        <f>IFERROR(_xlfn.XLOOKUP(A19,'James-Update'!A:A,'James-Update'!X:X,""),"")</f>
        <v>21511</v>
      </c>
      <c r="M19" s="32">
        <f t="shared" si="0"/>
        <v>40.383333344159993</v>
      </c>
      <c r="N19" s="32" t="str">
        <f>IFERROR(_xlfn.XLOOKUP(A19,'James-Update'!A:A,'James-Update'!O:O,""),"")</f>
        <v>40 Hrs 17 Mins</v>
      </c>
    </row>
    <row r="20" spans="1:14" x14ac:dyDescent="0.55000000000000004">
      <c r="A20" t="str">
        <f>IF('James-Update'!A21="","",'James-Update'!A21)</f>
        <v>CHG0219040</v>
      </c>
      <c r="B20" t="str">
        <f>IF(A20="", "", IF(_xlfn.XLOOKUP(A20, 'James-Update'!A:A, 'James-Update'!E:E, "")="", "", _xlfn.XLOOKUP(A20, 'James-Update'!A:A, 'James-Update'!E:E, "")))</f>
        <v>BANGLALINKIFX</v>
      </c>
      <c r="C20" t="str">
        <f>IFERROR(_xlfn.XLOOKUP(A20,'James-Update'!A:A,'James-Update'!F:F,""),"")</f>
        <v>IFX_2.5</v>
      </c>
      <c r="D20" s="31">
        <f>IFERROR(_xlfn.XLOOKUP(A20,'James-Update'!A:A,'James-Update'!S:S,""),"")</f>
        <v>62.5</v>
      </c>
      <c r="E20" s="31">
        <f>IFERROR(_xlfn.XLOOKUP(A20,'James-Update'!A:A,'James-Update'!I:I,""),"")</f>
        <v>288</v>
      </c>
      <c r="F20" s="31">
        <f>IFERROR(_xlfn.XLOOKUP(A20,'James-Update'!A:A,'James-Update'!K:K,""),"")</f>
        <v>576</v>
      </c>
      <c r="G20" s="31">
        <f>IFERROR(_xlfn.XLOOKUP(A20,'James-Update'!A:A,'James-Update'!H:H,""),"")</f>
        <v>6</v>
      </c>
      <c r="H20" s="31">
        <f>IFERROR(_xlfn.XLOOKUP(A20,'James-Update'!A:A,'James-Update'!J:J,""),"")</f>
        <v>6</v>
      </c>
      <c r="I20" s="31">
        <f>IFERROR(_xlfn.XLOOKUP(A20,'James-Update'!A:A,'James-Update'!R:R,""),"")</f>
        <v>3.7719999999999998</v>
      </c>
      <c r="J20" s="31">
        <f>IFERROR(_xlfn.XLOOKUP(A20,'James-Update'!A:A,'James-Update'!T:T,""),"")</f>
        <v>4193</v>
      </c>
      <c r="K20" s="31">
        <f>IFERROR(_xlfn.XLOOKUP(A20,'James-Update'!A:A,'James-Update'!W:W,""),"")</f>
        <v>8235</v>
      </c>
      <c r="L20" s="31">
        <f>IFERROR(_xlfn.XLOOKUP(A20,'James-Update'!A:A,'James-Update'!X:X,""),"")</f>
        <v>14077</v>
      </c>
      <c r="M20" s="32">
        <f t="shared" si="0"/>
        <v>6.3166669999999998</v>
      </c>
      <c r="N20" s="32" t="str">
        <f>IFERROR(_xlfn.XLOOKUP(A20,'James-Update'!A:A,'James-Update'!O:O,""),"")</f>
        <v>6 Hrs 13 Mins</v>
      </c>
    </row>
    <row r="21" spans="1:14" x14ac:dyDescent="0.55000000000000004">
      <c r="A21" t="str">
        <f>IF('James-Update'!A22="","",'James-Update'!A22)</f>
        <v>CHG0239574</v>
      </c>
      <c r="B21" t="str">
        <f>IF(A21="", "", IF(_xlfn.XLOOKUP(A21, 'James-Update'!A:A, 'James-Update'!E:E, "")="", "", _xlfn.XLOOKUP(A21, 'James-Update'!A:A, 'James-Update'!E:E, "")))</f>
        <v>UNICREDA</v>
      </c>
      <c r="C21" t="str">
        <f>IFERROR(_xlfn.XLOOKUP(A21,'James-Update'!A:A,'James-Update'!F:F,""),"")</f>
        <v>IFX_2.1</v>
      </c>
      <c r="D21" s="31">
        <f>IFERROR(_xlfn.XLOOKUP(A21,'James-Update'!A:A,'James-Update'!S:S,""),"")</f>
        <v>475.1</v>
      </c>
      <c r="E21" s="31">
        <f>IFERROR(_xlfn.XLOOKUP(A21,'James-Update'!A:A,'James-Update'!I:I,""),"")</f>
        <v>864</v>
      </c>
      <c r="F21" s="31">
        <f>IFERROR(_xlfn.XLOOKUP(A21,'James-Update'!A:A,'James-Update'!K:K,""),"")</f>
        <v>1152</v>
      </c>
      <c r="G21" s="31">
        <f>IFERROR(_xlfn.XLOOKUP(A21,'James-Update'!A:A,'James-Update'!H:H,""),"")</f>
        <v>18</v>
      </c>
      <c r="H21" s="31">
        <f>IFERROR(_xlfn.XLOOKUP(A21,'James-Update'!A:A,'James-Update'!J:J,""),"")</f>
        <v>6</v>
      </c>
      <c r="I21" s="31">
        <f>IFERROR(_xlfn.XLOOKUP(A21,'James-Update'!A:A,'James-Update'!R:R,""),"")</f>
        <v>5.593</v>
      </c>
      <c r="J21" s="31">
        <f>IFERROR(_xlfn.XLOOKUP(A21,'James-Update'!A:A,'James-Update'!T:T,""),"")</f>
        <v>88780</v>
      </c>
      <c r="K21" s="31">
        <f>IFERROR(_xlfn.XLOOKUP(A21,'James-Update'!A:A,'James-Update'!W:W,""),"")</f>
        <v>76442</v>
      </c>
      <c r="L21" s="31">
        <f>IFERROR(_xlfn.XLOOKUP(A21,'James-Update'!A:A,'James-Update'!X:X,""),"")</f>
        <v>177510</v>
      </c>
      <c r="M21" s="32">
        <f t="shared" si="0"/>
        <v>58.768775688133339</v>
      </c>
      <c r="N21" s="32" t="str">
        <f>IFERROR(_xlfn.XLOOKUP(A21,'James-Update'!A:A,'James-Update'!O:O,""),"")</f>
        <v>57  Hrs 17 Mns</v>
      </c>
    </row>
    <row r="22" spans="1:14" x14ac:dyDescent="0.55000000000000004">
      <c r="A22" t="str">
        <f>IF('James-Update'!A23="","",'James-Update'!A23)</f>
        <v>CHG0235347</v>
      </c>
      <c r="B22" t="str">
        <f>IF(A22="", "", IF(_xlfn.XLOOKUP(A22, 'James-Update'!A:A, 'James-Update'!E:E, "")="", "", _xlfn.XLOOKUP(A22, 'James-Update'!A:A, 'James-Update'!E:E, "")))</f>
        <v>PTMLIFX</v>
      </c>
      <c r="C22" t="str">
        <f>IFERROR(_xlfn.XLOOKUP(A22,'James-Update'!A:A,'James-Update'!F:F,""),"")</f>
        <v>IFX_2.1</v>
      </c>
      <c r="D22" s="31">
        <f>IFERROR(_xlfn.XLOOKUP(A22,'James-Update'!A:A,'James-Update'!S:S,""),"")</f>
        <v>209.2</v>
      </c>
      <c r="E22" s="31">
        <f>IFERROR(_xlfn.XLOOKUP(A22,'James-Update'!A:A,'James-Update'!I:I,""),"")</f>
        <v>288</v>
      </c>
      <c r="F22" s="31">
        <f>IFERROR(_xlfn.XLOOKUP(A22,'James-Update'!A:A,'James-Update'!K:K,""),"")</f>
        <v>576</v>
      </c>
      <c r="G22" s="31">
        <f>IFERROR(_xlfn.XLOOKUP(A22,'James-Update'!A:A,'James-Update'!H:H,""),"")</f>
        <v>6</v>
      </c>
      <c r="H22" s="31">
        <f>IFERROR(_xlfn.XLOOKUP(A22,'James-Update'!A:A,'James-Update'!J:J,""),"")</f>
        <v>6</v>
      </c>
      <c r="I22" s="31">
        <f>IFERROR(_xlfn.XLOOKUP(A22,'James-Update'!A:A,'James-Update'!R:R,""),"")</f>
        <v>3.6080000000000001</v>
      </c>
      <c r="J22" s="31">
        <f>IFERROR(_xlfn.XLOOKUP(A22,'James-Update'!A:A,'James-Update'!T:T,""),"")</f>
        <v>26126</v>
      </c>
      <c r="K22" s="31">
        <f>IFERROR(_xlfn.XLOOKUP(A22,'James-Update'!A:A,'James-Update'!W:W,""),"")</f>
        <v>53652</v>
      </c>
      <c r="L22" s="31">
        <f>IFERROR(_xlfn.XLOOKUP(A22,'James-Update'!A:A,'James-Update'!X:X,""),"")</f>
        <v>26136</v>
      </c>
      <c r="M22" s="32">
        <f t="shared" si="0"/>
        <v>38.850287962399996</v>
      </c>
      <c r="N22" s="32" t="str">
        <f>IFERROR(_xlfn.XLOOKUP(A22,'James-Update'!A:A,'James-Update'!O:O,""),"")</f>
        <v>38 Hrs 45 Mins</v>
      </c>
    </row>
    <row r="23" spans="1:14" x14ac:dyDescent="0.55000000000000004">
      <c r="A23" t="str">
        <f>IF('James-Update'!A24="","",'James-Update'!A24)</f>
        <v>CHG0212746</v>
      </c>
      <c r="B23" t="str">
        <f>IF(A23="", "", IF(_xlfn.XLOOKUP(A23, 'James-Update'!A:A, 'James-Update'!E:E, "")="", "", _xlfn.XLOOKUP(A23, 'James-Update'!A:A, 'James-Update'!E:E, "")))</f>
        <v>MOBILY02</v>
      </c>
      <c r="C23" t="str">
        <f>IFERROR(_xlfn.XLOOKUP(A23,'James-Update'!A:A,'James-Update'!F:F,""),"")</f>
        <v>IFX_2.5</v>
      </c>
      <c r="D23" s="31">
        <f>IFERROR(_xlfn.XLOOKUP(A23,'James-Update'!A:A,'James-Update'!S:S,""),"")</f>
        <v>175.6</v>
      </c>
      <c r="E23" s="31">
        <f>IFERROR(_xlfn.XLOOKUP(A23,'James-Update'!A:A,'James-Update'!I:I,""),"")</f>
        <v>288</v>
      </c>
      <c r="F23" s="31">
        <f>IFERROR(_xlfn.XLOOKUP(A23,'James-Update'!A:A,'James-Update'!K:K,""),"")</f>
        <v>432</v>
      </c>
      <c r="G23" s="31">
        <f>IFERROR(_xlfn.XLOOKUP(A23,'James-Update'!A:A,'James-Update'!H:H,""),"")</f>
        <v>12</v>
      </c>
      <c r="H23" s="31">
        <f>IFERROR(_xlfn.XLOOKUP(A23,'James-Update'!A:A,'James-Update'!J:J,""),"")</f>
        <v>18</v>
      </c>
      <c r="I23" s="31">
        <f>IFERROR(_xlfn.XLOOKUP(A23,'James-Update'!A:A,'James-Update'!R:R,""),"")</f>
        <v>4.1559999999999997</v>
      </c>
      <c r="J23" s="31">
        <f>IFERROR(_xlfn.XLOOKUP(A23,'James-Update'!A:A,'James-Update'!T:T,""),"")</f>
        <v>196587</v>
      </c>
      <c r="K23" s="31">
        <f>IFERROR(_xlfn.XLOOKUP(A23,'James-Update'!A:A,'James-Update'!W:W,""),"")</f>
        <v>46689</v>
      </c>
      <c r="L23" s="31">
        <f>IFERROR(_xlfn.XLOOKUP(A23,'James-Update'!A:A,'James-Update'!X:X,""),"")</f>
        <v>249780</v>
      </c>
      <c r="M23" s="32">
        <f t="shared" si="0"/>
        <v>24.100000020879996</v>
      </c>
      <c r="N23" s="32" t="str">
        <f>IFERROR(_xlfn.XLOOKUP(A23,'James-Update'!A:A,'James-Update'!O:O,""),"")</f>
        <v>24 Hrs</v>
      </c>
    </row>
    <row r="24" spans="1:14" x14ac:dyDescent="0.55000000000000004">
      <c r="A24" t="str">
        <f>IF('James-Update'!A25="","",'James-Update'!A25)</f>
        <v>CHG0195590</v>
      </c>
      <c r="B24" t="str">
        <f>IF(A24="", "", IF(_xlfn.XLOOKUP(A24, 'James-Update'!A:A, 'James-Update'!E:E, "")="", "", _xlfn.XLOOKUP(A24, 'James-Update'!A:A, 'James-Update'!E:E, "")))</f>
        <v>STDSTP05</v>
      </c>
      <c r="C24" t="str">
        <f>IFERROR(_xlfn.XLOOKUP(A24,'James-Update'!A:A,'James-Update'!F:F,""),"")</f>
        <v>IFX_2.1.1</v>
      </c>
      <c r="D24" s="31">
        <f>IFERROR(_xlfn.XLOOKUP(A24,'James-Update'!A:A,'James-Update'!S:S,""),"")</f>
        <v>421.9</v>
      </c>
      <c r="E24" s="31">
        <f>IFERROR(_xlfn.XLOOKUP(A24,'James-Update'!A:A,'James-Update'!I:I,""),"")</f>
        <v>2016</v>
      </c>
      <c r="F24" s="31">
        <f>IFERROR(_xlfn.XLOOKUP(A24,'James-Update'!A:A,'James-Update'!K:K,""),"")</f>
        <v>2112</v>
      </c>
      <c r="G24" s="31">
        <f>IFERROR(_xlfn.XLOOKUP(A24,'James-Update'!A:A,'James-Update'!H:H,""),"")</f>
        <v>42</v>
      </c>
      <c r="H24" s="31">
        <f>IFERROR(_xlfn.XLOOKUP(A24,'James-Update'!A:A,'James-Update'!J:J,""),"")</f>
        <v>54</v>
      </c>
      <c r="I24" s="31">
        <f>IFERROR(_xlfn.XLOOKUP(A24,'James-Update'!A:A,'James-Update'!R:R,""),"")</f>
        <v>4.5750000000000002</v>
      </c>
      <c r="J24" s="31">
        <f>IFERROR(_xlfn.XLOOKUP(A24,'James-Update'!A:A,'James-Update'!T:T,""),"")</f>
        <v>138073</v>
      </c>
      <c r="K24" s="31">
        <f>IFERROR(_xlfn.XLOOKUP(A24,'James-Update'!A:A,'James-Update'!W:W,""),"")</f>
        <v>101095</v>
      </c>
      <c r="L24" s="31">
        <f>IFERROR(_xlfn.XLOOKUP(A24,'James-Update'!A:A,'James-Update'!X:X,""),"")</f>
        <v>247929</v>
      </c>
      <c r="M24" s="32">
        <f t="shared" si="0"/>
        <v>12.75016203766857</v>
      </c>
      <c r="N24" s="32" t="str">
        <f>IFERROR(_xlfn.XLOOKUP(A24,'James-Update'!A:A,'James-Update'!O:O,""),"")</f>
        <v>12 Hrs 39 Mins</v>
      </c>
    </row>
    <row r="25" spans="1:14" x14ac:dyDescent="0.55000000000000004">
      <c r="A25" t="str">
        <f>IF('James-Update'!A26="","",'James-Update'!A26)</f>
        <v>CHG0251187</v>
      </c>
      <c r="B25" t="str">
        <f>IF(A25="", "", IF(_xlfn.XLOOKUP(A25, 'James-Update'!A:A, 'James-Update'!E:E, "")="", "", _xlfn.XLOOKUP(A25, 'James-Update'!A:A, 'James-Update'!E:E, "")))</f>
        <v>TDICAMTSBKPRD05</v>
      </c>
      <c r="C25" t="str">
        <f>IFERROR(_xlfn.XLOOKUP(A25,'James-Update'!A:A,'James-Update'!F:F,""),"")</f>
        <v>Amazon_Cloud</v>
      </c>
      <c r="D25" s="31">
        <f>IFERROR(_xlfn.XLOOKUP(A25,'James-Update'!A:A,'James-Update'!S:S,""),"")</f>
        <v>5.6</v>
      </c>
      <c r="E25" s="31">
        <f>IFERROR(_xlfn.XLOOKUP(A25,'James-Update'!A:A,'James-Update'!I:I,""),"")</f>
        <v>48</v>
      </c>
      <c r="F25" s="31">
        <f>IFERROR(_xlfn.XLOOKUP(A25,'James-Update'!A:A,'James-Update'!K:K,""),"")</f>
        <v>96</v>
      </c>
      <c r="G25" s="31">
        <f>IFERROR(_xlfn.XLOOKUP(A25,'James-Update'!A:A,'James-Update'!H:H,""),"")</f>
        <v>2</v>
      </c>
      <c r="H25" s="31">
        <f>IFERROR(_xlfn.XLOOKUP(A25,'James-Update'!A:A,'James-Update'!J:J,""),"")</f>
        <v>4</v>
      </c>
      <c r="I25" s="31">
        <f>IFERROR(_xlfn.XLOOKUP(A25,'James-Update'!A:A,'James-Update'!R:R,""),"")</f>
        <v>4.468</v>
      </c>
      <c r="J25" s="31">
        <f>IFERROR(_xlfn.XLOOKUP(A25,'James-Update'!A:A,'James-Update'!T:T,""),"")</f>
        <v>4043</v>
      </c>
      <c r="K25" s="31">
        <f>IFERROR(_xlfn.XLOOKUP(A25,'James-Update'!A:A,'James-Update'!W:W,""),"")</f>
        <v>2217</v>
      </c>
      <c r="L25" s="31">
        <f>IFERROR(_xlfn.XLOOKUP(A25,'James-Update'!A:A,'James-Update'!X:X,""),"")</f>
        <v>6564</v>
      </c>
      <c r="M25" s="32">
        <f t="shared" si="0"/>
        <v>3.5666666664000002</v>
      </c>
      <c r="N25" s="32" t="str">
        <f>IFERROR(_xlfn.XLOOKUP(A25,'James-Update'!A:A,'James-Update'!O:O,""),"")</f>
        <v>3 Hrs 28 Mins</v>
      </c>
    </row>
    <row r="26" spans="1:14" x14ac:dyDescent="0.55000000000000004">
      <c r="A26" t="str">
        <f>IF('James-Update'!A27="","",'James-Update'!A27)</f>
        <v/>
      </c>
      <c r="B26" t="str">
        <f>IF(A26="", "", IF(_xlfn.XLOOKUP(A26, 'James-Update'!A:A, 'James-Update'!E:E, "")="", "", _xlfn.XLOOKUP(A26, 'James-Update'!A:A, 'James-Update'!E:E, "")))</f>
        <v/>
      </c>
      <c r="C26" t="str">
        <f>IFERROR(_xlfn.XLOOKUP(A26,'James-Update'!A:A,'James-Update'!F:F,""),"")</f>
        <v/>
      </c>
      <c r="D26" s="31" t="str">
        <f>IFERROR(_xlfn.XLOOKUP(A26,'James-Update'!A:A,'James-Update'!S:S,""),"")</f>
        <v/>
      </c>
      <c r="E26" s="31" t="str">
        <f>IFERROR(_xlfn.XLOOKUP(A26,'James-Update'!A:A,'James-Update'!I:I,""),"")</f>
        <v/>
      </c>
      <c r="F26" s="31" t="str">
        <f>IFERROR(_xlfn.XLOOKUP(A26,'James-Update'!A:A,'James-Update'!K:K,""),"")</f>
        <v/>
      </c>
      <c r="G26" s="31" t="str">
        <f>IFERROR(_xlfn.XLOOKUP(A26,'James-Update'!A:A,'James-Update'!H:H,""),"")</f>
        <v/>
      </c>
      <c r="H26" s="31" t="str">
        <f>IFERROR(_xlfn.XLOOKUP(A26,'James-Update'!A:A,'James-Update'!J:J,""),"")</f>
        <v/>
      </c>
      <c r="I26" s="31" t="str">
        <f>IFERROR(_xlfn.XLOOKUP(A26,'James-Update'!A:A,'James-Update'!R:R,""),"")</f>
        <v/>
      </c>
      <c r="J26" s="31" t="str">
        <f>IFERROR(_xlfn.XLOOKUP(A26,'James-Update'!A:A,'James-Update'!T:T,""),"")</f>
        <v/>
      </c>
      <c r="K26" s="31" t="str">
        <f>IFERROR(_xlfn.XLOOKUP(A26,'James-Update'!A:A,'James-Update'!W:W,""),"")</f>
        <v/>
      </c>
      <c r="L26" s="31" t="str">
        <f>IFERROR(_xlfn.XLOOKUP(A26,'James-Update'!A:A,'James-Update'!X:X,""),"")</f>
        <v/>
      </c>
      <c r="M26" s="32" t="str">
        <f t="shared" si="0"/>
        <v/>
      </c>
      <c r="N26" s="32" t="str">
        <f>IFERROR(_xlfn.XLOOKUP(A26,'James-Update'!A:A,'James-Update'!O:O,""),"")</f>
        <v/>
      </c>
    </row>
    <row r="27" spans="1:14" x14ac:dyDescent="0.55000000000000004">
      <c r="A27" t="str">
        <f>IF('James-Update'!A28="","",'James-Update'!A28)</f>
        <v/>
      </c>
      <c r="B27" t="str">
        <f>IF(A27="", "", IF(_xlfn.XLOOKUP(A27, 'James-Update'!A:A, 'James-Update'!E:E, "")="", "", _xlfn.XLOOKUP(A27, 'James-Update'!A:A, 'James-Update'!E:E, "")))</f>
        <v/>
      </c>
      <c r="C27" t="str">
        <f>IFERROR(_xlfn.XLOOKUP(A27,'James-Update'!A:A,'James-Update'!F:F,""),"")</f>
        <v/>
      </c>
      <c r="D27" s="31" t="str">
        <f>IFERROR(_xlfn.XLOOKUP(A27,'James-Update'!A:A,'James-Update'!S:S,""),"")</f>
        <v/>
      </c>
      <c r="E27" s="31" t="str">
        <f>IFERROR(_xlfn.XLOOKUP(A27,'James-Update'!A:A,'James-Update'!I:I,""),"")</f>
        <v/>
      </c>
      <c r="F27" s="31" t="str">
        <f>IFERROR(_xlfn.XLOOKUP(A27,'James-Update'!A:A,'James-Update'!K:K,""),"")</f>
        <v/>
      </c>
      <c r="G27" s="31" t="str">
        <f>IFERROR(_xlfn.XLOOKUP(A27,'James-Update'!A:A,'James-Update'!H:H,""),"")</f>
        <v/>
      </c>
      <c r="H27" s="31" t="str">
        <f>IFERROR(_xlfn.XLOOKUP(A27,'James-Update'!A:A,'James-Update'!J:J,""),"")</f>
        <v/>
      </c>
      <c r="I27" s="31" t="str">
        <f>IFERROR(_xlfn.XLOOKUP(A27,'James-Update'!A:A,'James-Update'!R:R,""),"")</f>
        <v/>
      </c>
      <c r="J27" s="31" t="str">
        <f>IFERROR(_xlfn.XLOOKUP(A27,'James-Update'!A:A,'James-Update'!T:T,""),"")</f>
        <v/>
      </c>
      <c r="K27" s="31" t="str">
        <f>IFERROR(_xlfn.XLOOKUP(A27,'James-Update'!A:A,'James-Update'!W:W,""),"")</f>
        <v/>
      </c>
      <c r="L27" s="31" t="str">
        <f>IFERROR(_xlfn.XLOOKUP(A27,'James-Update'!A:A,'James-Update'!X:X,""),"")</f>
        <v/>
      </c>
      <c r="M27" s="32" t="str">
        <f t="shared" si="0"/>
        <v/>
      </c>
      <c r="N27" s="32" t="str">
        <f>IFERROR(_xlfn.XLOOKUP(A27,'James-Update'!A:A,'James-Update'!O:O,""),"")</f>
        <v/>
      </c>
    </row>
    <row r="28" spans="1:14" x14ac:dyDescent="0.55000000000000004">
      <c r="A28" t="str">
        <f>IF('James-Update'!A29="","",'James-Update'!A29)</f>
        <v/>
      </c>
      <c r="B28" t="str">
        <f>IF(A28="", "", IF(_xlfn.XLOOKUP(A28, 'James-Update'!A:A, 'James-Update'!E:E, "")="", "", _xlfn.XLOOKUP(A28, 'James-Update'!A:A, 'James-Update'!E:E, "")))</f>
        <v/>
      </c>
      <c r="C28" t="str">
        <f>IFERROR(_xlfn.XLOOKUP(A28,'James-Update'!A:A,'James-Update'!F:F,""),"")</f>
        <v/>
      </c>
      <c r="D28" s="31" t="str">
        <f>IFERROR(_xlfn.XLOOKUP(A28,'James-Update'!A:A,'James-Update'!S:S,""),"")</f>
        <v/>
      </c>
      <c r="E28" s="31" t="str">
        <f>IFERROR(_xlfn.XLOOKUP(A28,'James-Update'!A:A,'James-Update'!I:I,""),"")</f>
        <v/>
      </c>
      <c r="F28" s="31" t="str">
        <f>IFERROR(_xlfn.XLOOKUP(A28,'James-Update'!A:A,'James-Update'!K:K,""),"")</f>
        <v/>
      </c>
      <c r="G28" s="31" t="str">
        <f>IFERROR(_xlfn.XLOOKUP(A28,'James-Update'!A:A,'James-Update'!H:H,""),"")</f>
        <v/>
      </c>
      <c r="H28" s="31" t="str">
        <f>IFERROR(_xlfn.XLOOKUP(A28,'James-Update'!A:A,'James-Update'!J:J,""),"")</f>
        <v/>
      </c>
      <c r="I28" s="31" t="str">
        <f>IFERROR(_xlfn.XLOOKUP(A28,'James-Update'!A:A,'James-Update'!R:R,""),"")</f>
        <v/>
      </c>
      <c r="J28" s="31" t="str">
        <f>IFERROR(_xlfn.XLOOKUP(A28,'James-Update'!A:A,'James-Update'!T:T,""),"")</f>
        <v/>
      </c>
      <c r="K28" s="31" t="str">
        <f>IFERROR(_xlfn.XLOOKUP(A28,'James-Update'!A:A,'James-Update'!W:W,""),"")</f>
        <v/>
      </c>
      <c r="L28" s="31" t="str">
        <f>IFERROR(_xlfn.XLOOKUP(A28,'James-Update'!A:A,'James-Update'!X:X,""),"")</f>
        <v/>
      </c>
      <c r="M28" s="32" t="str">
        <f t="shared" si="0"/>
        <v/>
      </c>
      <c r="N28" s="32" t="str">
        <f>IFERROR(_xlfn.XLOOKUP(A28,'James-Update'!A:A,'James-Update'!O:O,""),"")</f>
        <v/>
      </c>
    </row>
    <row r="29" spans="1:14" x14ac:dyDescent="0.55000000000000004">
      <c r="A29" t="str">
        <f>IF('James-Update'!A30="","",'James-Update'!A30)</f>
        <v/>
      </c>
      <c r="B29" t="str">
        <f>IF(A29="", "", IF(_xlfn.XLOOKUP(A29, 'James-Update'!A:A, 'James-Update'!E:E, "")="", "", _xlfn.XLOOKUP(A29, 'James-Update'!A:A, 'James-Update'!E:E, "")))</f>
        <v/>
      </c>
      <c r="C29" t="str">
        <f>IFERROR(_xlfn.XLOOKUP(A29,'James-Update'!A:A,'James-Update'!F:F,""),"")</f>
        <v/>
      </c>
      <c r="D29" s="31" t="str">
        <f>IFERROR(_xlfn.XLOOKUP(A29,'James-Update'!A:A,'James-Update'!S:S,""),"")</f>
        <v/>
      </c>
      <c r="E29" s="31" t="str">
        <f>IFERROR(_xlfn.XLOOKUP(A29,'James-Update'!A:A,'James-Update'!I:I,""),"")</f>
        <v/>
      </c>
      <c r="F29" s="31" t="str">
        <f>IFERROR(_xlfn.XLOOKUP(A29,'James-Update'!A:A,'James-Update'!K:K,""),"")</f>
        <v/>
      </c>
      <c r="G29" s="31" t="str">
        <f>IFERROR(_xlfn.XLOOKUP(A29,'James-Update'!A:A,'James-Update'!H:H,""),"")</f>
        <v/>
      </c>
      <c r="H29" s="31" t="str">
        <f>IFERROR(_xlfn.XLOOKUP(A29,'James-Update'!A:A,'James-Update'!J:J,""),"")</f>
        <v/>
      </c>
      <c r="I29" s="31" t="str">
        <f>IFERROR(_xlfn.XLOOKUP(A29,'James-Update'!A:A,'James-Update'!R:R,""),"")</f>
        <v/>
      </c>
      <c r="J29" s="31" t="str">
        <f>IFERROR(_xlfn.XLOOKUP(A29,'James-Update'!A:A,'James-Update'!T:T,""),"")</f>
        <v/>
      </c>
      <c r="K29" s="31" t="str">
        <f>IFERROR(_xlfn.XLOOKUP(A29,'James-Update'!A:A,'James-Update'!W:W,""),"")</f>
        <v/>
      </c>
      <c r="L29" s="31" t="str">
        <f>IFERROR(_xlfn.XLOOKUP(A29,'James-Update'!A:A,'James-Update'!X:X,""),"")</f>
        <v/>
      </c>
      <c r="M29" s="32" t="str">
        <f t="shared" si="0"/>
        <v/>
      </c>
      <c r="N29" s="32" t="str">
        <f>IFERROR(_xlfn.XLOOKUP(A29,'James-Update'!A:A,'James-Update'!O:O,""),"")</f>
        <v/>
      </c>
    </row>
    <row r="30" spans="1:14" x14ac:dyDescent="0.55000000000000004">
      <c r="A30" t="str">
        <f>IF('James-Update'!A31="","",'James-Update'!A31)</f>
        <v/>
      </c>
      <c r="B30" t="str">
        <f>IF(A30="", "", IF(_xlfn.XLOOKUP(A30, 'James-Update'!A:A, 'James-Update'!E:E, "")="", "", _xlfn.XLOOKUP(A30, 'James-Update'!A:A, 'James-Update'!E:E, "")))</f>
        <v/>
      </c>
      <c r="C30" t="str">
        <f>IFERROR(_xlfn.XLOOKUP(A30,'James-Update'!A:A,'James-Update'!F:F,""),"")</f>
        <v/>
      </c>
      <c r="D30" s="31" t="str">
        <f>IFERROR(_xlfn.XLOOKUP(A30,'James-Update'!A:A,'James-Update'!S:S,""),"")</f>
        <v/>
      </c>
      <c r="E30" s="31" t="str">
        <f>IFERROR(_xlfn.XLOOKUP(A30,'James-Update'!A:A,'James-Update'!I:I,""),"")</f>
        <v/>
      </c>
      <c r="F30" s="31" t="str">
        <f>IFERROR(_xlfn.XLOOKUP(A30,'James-Update'!A:A,'James-Update'!K:K,""),"")</f>
        <v/>
      </c>
      <c r="G30" s="31" t="str">
        <f>IFERROR(_xlfn.XLOOKUP(A30,'James-Update'!A:A,'James-Update'!H:H,""),"")</f>
        <v/>
      </c>
      <c r="H30" s="31" t="str">
        <f>IFERROR(_xlfn.XLOOKUP(A30,'James-Update'!A:A,'James-Update'!J:J,""),"")</f>
        <v/>
      </c>
      <c r="I30" s="31" t="str">
        <f>IFERROR(_xlfn.XLOOKUP(A30,'James-Update'!A:A,'James-Update'!R:R,""),"")</f>
        <v/>
      </c>
      <c r="J30" s="31" t="str">
        <f>IFERROR(_xlfn.XLOOKUP(A30,'James-Update'!A:A,'James-Update'!T:T,""),"")</f>
        <v/>
      </c>
      <c r="K30" s="31" t="str">
        <f>IFERROR(_xlfn.XLOOKUP(A30,'James-Update'!A:A,'James-Update'!W:W,""),"")</f>
        <v/>
      </c>
      <c r="L30" s="31" t="str">
        <f>IFERROR(_xlfn.XLOOKUP(A30,'James-Update'!A:A,'James-Update'!X:X,""),"")</f>
        <v/>
      </c>
      <c r="M30" s="32" t="str">
        <f t="shared" si="0"/>
        <v/>
      </c>
      <c r="N30" s="32" t="str">
        <f>IFERROR(_xlfn.XLOOKUP(A30,'James-Update'!A:A,'James-Update'!O:O,""),"")</f>
        <v/>
      </c>
    </row>
    <row r="31" spans="1:14" x14ac:dyDescent="0.55000000000000004">
      <c r="A31" t="str">
        <f>IF('James-Update'!A32="","",'James-Update'!A32)</f>
        <v/>
      </c>
      <c r="B31" t="str">
        <f>IF(A31="", "", IF(_xlfn.XLOOKUP(A31, 'James-Update'!A:A, 'James-Update'!E:E, "")="", "", _xlfn.XLOOKUP(A31, 'James-Update'!A:A, 'James-Update'!E:E, "")))</f>
        <v/>
      </c>
      <c r="C31" t="str">
        <f>IFERROR(_xlfn.XLOOKUP(A31,'James-Update'!A:A,'James-Update'!F:F,""),"")</f>
        <v/>
      </c>
      <c r="D31" s="31" t="str">
        <f>IFERROR(_xlfn.XLOOKUP(A31,'James-Update'!A:A,'James-Update'!S:S,""),"")</f>
        <v/>
      </c>
      <c r="E31" s="31" t="str">
        <f>IFERROR(_xlfn.XLOOKUP(A31,'James-Update'!A:A,'James-Update'!I:I,""),"")</f>
        <v/>
      </c>
      <c r="F31" s="31" t="str">
        <f>IFERROR(_xlfn.XLOOKUP(A31,'James-Update'!A:A,'James-Update'!K:K,""),"")</f>
        <v/>
      </c>
      <c r="G31" s="31" t="str">
        <f>IFERROR(_xlfn.XLOOKUP(A31,'James-Update'!A:A,'James-Update'!H:H,""),"")</f>
        <v/>
      </c>
      <c r="H31" s="31" t="str">
        <f>IFERROR(_xlfn.XLOOKUP(A31,'James-Update'!A:A,'James-Update'!J:J,""),"")</f>
        <v/>
      </c>
      <c r="I31" s="31" t="str">
        <f>IFERROR(_xlfn.XLOOKUP(A31,'James-Update'!A:A,'James-Update'!R:R,""),"")</f>
        <v/>
      </c>
      <c r="J31" s="31" t="str">
        <f>IFERROR(_xlfn.XLOOKUP(A31,'James-Update'!A:A,'James-Update'!T:T,""),"")</f>
        <v/>
      </c>
      <c r="K31" s="31" t="str">
        <f>IFERROR(_xlfn.XLOOKUP(A31,'James-Update'!A:A,'James-Update'!W:W,""),"")</f>
        <v/>
      </c>
      <c r="L31" s="31" t="str">
        <f>IFERROR(_xlfn.XLOOKUP(A31,'James-Update'!A:A,'James-Update'!X:X,""),"")</f>
        <v/>
      </c>
      <c r="M31" s="32" t="str">
        <f t="shared" si="0"/>
        <v/>
      </c>
      <c r="N31" s="32" t="str">
        <f>IFERROR(_xlfn.XLOOKUP(A31,'James-Update'!A:A,'James-Update'!O:O,""),"")</f>
        <v/>
      </c>
    </row>
    <row r="32" spans="1:14" x14ac:dyDescent="0.55000000000000004">
      <c r="A32" t="str">
        <f>IF('James-Update'!A33="","",'James-Update'!A33)</f>
        <v/>
      </c>
      <c r="B32" t="str">
        <f>IF(A32="", "", IF(_xlfn.XLOOKUP(A32, 'James-Update'!A:A, 'James-Update'!E:E, "")="", "", _xlfn.XLOOKUP(A32, 'James-Update'!A:A, 'James-Update'!E:E, "")))</f>
        <v/>
      </c>
      <c r="C32" t="str">
        <f>IFERROR(_xlfn.XLOOKUP(A32,'James-Update'!A:A,'James-Update'!F:F,""),"")</f>
        <v/>
      </c>
      <c r="D32" s="31" t="str">
        <f>IFERROR(_xlfn.XLOOKUP(A32,'James-Update'!A:A,'James-Update'!S:S,""),"")</f>
        <v/>
      </c>
      <c r="E32" s="31" t="str">
        <f>IFERROR(_xlfn.XLOOKUP(A32,'James-Update'!A:A,'James-Update'!I:I,""),"")</f>
        <v/>
      </c>
      <c r="F32" s="31" t="str">
        <f>IFERROR(_xlfn.XLOOKUP(A32,'James-Update'!A:A,'James-Update'!K:K,""),"")</f>
        <v/>
      </c>
      <c r="G32" s="31" t="str">
        <f>IFERROR(_xlfn.XLOOKUP(A32,'James-Update'!A:A,'James-Update'!H:H,""),"")</f>
        <v/>
      </c>
      <c r="H32" s="31" t="str">
        <f>IFERROR(_xlfn.XLOOKUP(A32,'James-Update'!A:A,'James-Update'!J:J,""),"")</f>
        <v/>
      </c>
      <c r="I32" s="31" t="str">
        <f>IFERROR(_xlfn.XLOOKUP(A32,'James-Update'!A:A,'James-Update'!R:R,""),"")</f>
        <v/>
      </c>
      <c r="J32" s="31" t="str">
        <f>IFERROR(_xlfn.XLOOKUP(A32,'James-Update'!A:A,'James-Update'!T:T,""),"")</f>
        <v/>
      </c>
      <c r="K32" s="31" t="str">
        <f>IFERROR(_xlfn.XLOOKUP(A32,'James-Update'!A:A,'James-Update'!W:W,""),"")</f>
        <v/>
      </c>
      <c r="L32" s="31" t="str">
        <f>IFERROR(_xlfn.XLOOKUP(A32,'James-Update'!A:A,'James-Update'!X:X,""),"")</f>
        <v/>
      </c>
      <c r="M32" s="32" t="str">
        <f t="shared" si="0"/>
        <v/>
      </c>
      <c r="N32" s="32" t="str">
        <f>IFERROR(_xlfn.XLOOKUP(A32,'James-Update'!A:A,'James-Update'!O:O,""),"")</f>
        <v/>
      </c>
    </row>
    <row r="33" spans="1:14" x14ac:dyDescent="0.55000000000000004">
      <c r="A33" t="str">
        <f>IF('James-Update'!A34="","",'James-Update'!A34)</f>
        <v/>
      </c>
      <c r="B33" t="str">
        <f>IF(A33="", "", IF(_xlfn.XLOOKUP(A33, 'James-Update'!A:A, 'James-Update'!E:E, "")="", "", _xlfn.XLOOKUP(A33, 'James-Update'!A:A, 'James-Update'!E:E, "")))</f>
        <v/>
      </c>
      <c r="C33" t="str">
        <f>IFERROR(_xlfn.XLOOKUP(A33,'James-Update'!A:A,'James-Update'!F:F,""),"")</f>
        <v/>
      </c>
      <c r="D33" s="31" t="str">
        <f>IFERROR(_xlfn.XLOOKUP(A33,'James-Update'!A:A,'James-Update'!S:S,""),"")</f>
        <v/>
      </c>
      <c r="E33" s="31" t="str">
        <f>IFERROR(_xlfn.XLOOKUP(A33,'James-Update'!A:A,'James-Update'!I:I,""),"")</f>
        <v/>
      </c>
      <c r="F33" s="31" t="str">
        <f>IFERROR(_xlfn.XLOOKUP(A33,'James-Update'!A:A,'James-Update'!K:K,""),"")</f>
        <v/>
      </c>
      <c r="G33" s="31" t="str">
        <f>IFERROR(_xlfn.XLOOKUP(A33,'James-Update'!A:A,'James-Update'!H:H,""),"")</f>
        <v/>
      </c>
      <c r="H33" s="31" t="str">
        <f>IFERROR(_xlfn.XLOOKUP(A33,'James-Update'!A:A,'James-Update'!J:J,""),"")</f>
        <v/>
      </c>
      <c r="I33" s="31" t="str">
        <f>IFERROR(_xlfn.XLOOKUP(A33,'James-Update'!A:A,'James-Update'!R:R,""),"")</f>
        <v/>
      </c>
      <c r="J33" s="31" t="str">
        <f>IFERROR(_xlfn.XLOOKUP(A33,'James-Update'!A:A,'James-Update'!T:T,""),"")</f>
        <v/>
      </c>
      <c r="K33" s="31" t="str">
        <f>IFERROR(_xlfn.XLOOKUP(A33,'James-Update'!A:A,'James-Update'!W:W,""),"")</f>
        <v/>
      </c>
      <c r="L33" s="31" t="str">
        <f>IFERROR(_xlfn.XLOOKUP(A33,'James-Update'!A:A,'James-Update'!X:X,""),"")</f>
        <v/>
      </c>
      <c r="M33" s="32" t="str">
        <f t="shared" si="0"/>
        <v/>
      </c>
      <c r="N33" s="32" t="str">
        <f>IFERROR(_xlfn.XLOOKUP(A33,'James-Update'!A:A,'James-Update'!O:O,""),"")</f>
        <v/>
      </c>
    </row>
    <row r="34" spans="1:14" x14ac:dyDescent="0.55000000000000004">
      <c r="A34" t="str">
        <f>IF('James-Update'!A35="","",'James-Update'!A35)</f>
        <v/>
      </c>
      <c r="B34" t="str">
        <f>IF(A34="", "", IF(_xlfn.XLOOKUP(A34, 'James-Update'!A:A, 'James-Update'!E:E, "")="", "", _xlfn.XLOOKUP(A34, 'James-Update'!A:A, 'James-Update'!E:E, "")))</f>
        <v/>
      </c>
      <c r="C34" t="str">
        <f>IFERROR(_xlfn.XLOOKUP(A34,'James-Update'!A:A,'James-Update'!F:F,""),"")</f>
        <v/>
      </c>
      <c r="D34" s="31" t="str">
        <f>IFERROR(_xlfn.XLOOKUP(A34,'James-Update'!A:A,'James-Update'!S:S,""),"")</f>
        <v/>
      </c>
      <c r="E34" s="31" t="str">
        <f>IFERROR(_xlfn.XLOOKUP(A34,'James-Update'!A:A,'James-Update'!I:I,""),"")</f>
        <v/>
      </c>
      <c r="F34" s="31" t="str">
        <f>IFERROR(_xlfn.XLOOKUP(A34,'James-Update'!A:A,'James-Update'!K:K,""),"")</f>
        <v/>
      </c>
      <c r="G34" s="31" t="str">
        <f>IFERROR(_xlfn.XLOOKUP(A34,'James-Update'!A:A,'James-Update'!H:H,""),"")</f>
        <v/>
      </c>
      <c r="H34" s="31" t="str">
        <f>IFERROR(_xlfn.XLOOKUP(A34,'James-Update'!A:A,'James-Update'!J:J,""),"")</f>
        <v/>
      </c>
      <c r="I34" s="31" t="str">
        <f>IFERROR(_xlfn.XLOOKUP(A34,'James-Update'!A:A,'James-Update'!R:R,""),"")</f>
        <v/>
      </c>
      <c r="J34" s="31" t="str">
        <f>IFERROR(_xlfn.XLOOKUP(A34,'James-Update'!A:A,'James-Update'!T:T,""),"")</f>
        <v/>
      </c>
      <c r="K34" s="31" t="str">
        <f>IFERROR(_xlfn.XLOOKUP(A34,'James-Update'!A:A,'James-Update'!W:W,""),"")</f>
        <v/>
      </c>
      <c r="L34" s="31" t="str">
        <f>IFERROR(_xlfn.XLOOKUP(A34,'James-Update'!A:A,'James-Update'!X:X,""),"")</f>
        <v/>
      </c>
      <c r="M34" s="32" t="str">
        <f t="shared" si="0"/>
        <v/>
      </c>
      <c r="N34" s="32" t="str">
        <f>IFERROR(_xlfn.XLOOKUP(A34,'James-Update'!A:A,'James-Update'!O:O,""),"")</f>
        <v/>
      </c>
    </row>
    <row r="35" spans="1:14" x14ac:dyDescent="0.55000000000000004">
      <c r="A35" t="str">
        <f>IF('James-Update'!A36="","",'James-Update'!A36)</f>
        <v/>
      </c>
      <c r="B35" t="str">
        <f>IF(A35="", "", IF(_xlfn.XLOOKUP(A35, 'James-Update'!A:A, 'James-Update'!E:E, "")="", "", _xlfn.XLOOKUP(A35, 'James-Update'!A:A, 'James-Update'!E:E, "")))</f>
        <v/>
      </c>
      <c r="C35" t="str">
        <f>IFERROR(_xlfn.XLOOKUP(A35,'James-Update'!A:A,'James-Update'!F:F,""),"")</f>
        <v/>
      </c>
      <c r="D35" s="31" t="str">
        <f>IFERROR(_xlfn.XLOOKUP(A35,'James-Update'!A:A,'James-Update'!S:S,""),"")</f>
        <v/>
      </c>
      <c r="E35" s="31" t="str">
        <f>IFERROR(_xlfn.XLOOKUP(A35,'James-Update'!A:A,'James-Update'!I:I,""),"")</f>
        <v/>
      </c>
      <c r="F35" s="31" t="str">
        <f>IFERROR(_xlfn.XLOOKUP(A35,'James-Update'!A:A,'James-Update'!K:K,""),"")</f>
        <v/>
      </c>
      <c r="G35" s="31" t="str">
        <f>IFERROR(_xlfn.XLOOKUP(A35,'James-Update'!A:A,'James-Update'!H:H,""),"")</f>
        <v/>
      </c>
      <c r="H35" s="31" t="str">
        <f>IFERROR(_xlfn.XLOOKUP(A35,'James-Update'!A:A,'James-Update'!J:J,""),"")</f>
        <v/>
      </c>
      <c r="I35" s="31" t="str">
        <f>IFERROR(_xlfn.XLOOKUP(A35,'James-Update'!A:A,'James-Update'!R:R,""),"")</f>
        <v/>
      </c>
      <c r="J35" s="31" t="str">
        <f>IFERROR(_xlfn.XLOOKUP(A35,'James-Update'!A:A,'James-Update'!T:T,""),"")</f>
        <v/>
      </c>
      <c r="K35" s="31" t="str">
        <f>IFERROR(_xlfn.XLOOKUP(A35,'James-Update'!A:A,'James-Update'!W:W,""),"")</f>
        <v/>
      </c>
      <c r="L35" s="31" t="str">
        <f>IFERROR(_xlfn.XLOOKUP(A35,'James-Update'!A:A,'James-Update'!X:X,""),"")</f>
        <v/>
      </c>
      <c r="M35" s="32" t="str">
        <f t="shared" si="0"/>
        <v/>
      </c>
      <c r="N35" s="32" t="str">
        <f>IFERROR(_xlfn.XLOOKUP(A35,'James-Update'!A:A,'James-Update'!O:O,""),"")</f>
        <v/>
      </c>
    </row>
    <row r="36" spans="1:14" x14ac:dyDescent="0.55000000000000004">
      <c r="A36" t="str">
        <f>IF('James-Update'!A37="","",'James-Update'!A37)</f>
        <v/>
      </c>
      <c r="B36" t="str">
        <f>IF(A36="", "", IF(_xlfn.XLOOKUP(A36, 'James-Update'!A:A, 'James-Update'!E:E, "")="", "", _xlfn.XLOOKUP(A36, 'James-Update'!A:A, 'James-Update'!E:E, "")))</f>
        <v/>
      </c>
      <c r="C36" t="str">
        <f>IFERROR(_xlfn.XLOOKUP(A36,'James-Update'!A:A,'James-Update'!F:F,""),"")</f>
        <v/>
      </c>
      <c r="D36" s="31" t="str">
        <f>IFERROR(_xlfn.XLOOKUP(A36,'James-Update'!A:A,'James-Update'!S:S,""),"")</f>
        <v/>
      </c>
      <c r="E36" s="31" t="str">
        <f>IFERROR(_xlfn.XLOOKUP(A36,'James-Update'!A:A,'James-Update'!I:I,""),"")</f>
        <v/>
      </c>
      <c r="F36" s="31" t="str">
        <f>IFERROR(_xlfn.XLOOKUP(A36,'James-Update'!A:A,'James-Update'!K:K,""),"")</f>
        <v/>
      </c>
      <c r="G36" s="31" t="str">
        <f>IFERROR(_xlfn.XLOOKUP(A36,'James-Update'!A:A,'James-Update'!H:H,""),"")</f>
        <v/>
      </c>
      <c r="H36" s="31" t="str">
        <f>IFERROR(_xlfn.XLOOKUP(A36,'James-Update'!A:A,'James-Update'!J:J,""),"")</f>
        <v/>
      </c>
      <c r="I36" s="31" t="str">
        <f>IFERROR(_xlfn.XLOOKUP(A36,'James-Update'!A:A,'James-Update'!R:R,""),"")</f>
        <v/>
      </c>
      <c r="J36" s="31" t="str">
        <f>IFERROR(_xlfn.XLOOKUP(A36,'James-Update'!A:A,'James-Update'!T:T,""),"")</f>
        <v/>
      </c>
      <c r="K36" s="31" t="str">
        <f>IFERROR(_xlfn.XLOOKUP(A36,'James-Update'!A:A,'James-Update'!W:W,""),"")</f>
        <v/>
      </c>
      <c r="L36" s="31" t="str">
        <f>IFERROR(_xlfn.XLOOKUP(A36,'James-Update'!A:A,'James-Update'!X:X,""),"")</f>
        <v/>
      </c>
      <c r="M36" s="32" t="str">
        <f t="shared" si="0"/>
        <v/>
      </c>
      <c r="N36" s="32" t="str">
        <f>IFERROR(_xlfn.XLOOKUP(A36,'James-Update'!A:A,'James-Update'!O:O,""),"")</f>
        <v/>
      </c>
    </row>
    <row r="37" spans="1:14" x14ac:dyDescent="0.55000000000000004">
      <c r="A37" t="str">
        <f>IF('James-Update'!A38="","",'James-Update'!A38)</f>
        <v/>
      </c>
      <c r="B37" t="str">
        <f>IF(A37="", "", IF(_xlfn.XLOOKUP(A37, 'James-Update'!A:A, 'James-Update'!E:E, "")="", "", _xlfn.XLOOKUP(A37, 'James-Update'!A:A, 'James-Update'!E:E, "")))</f>
        <v/>
      </c>
      <c r="C37" t="str">
        <f>IFERROR(_xlfn.XLOOKUP(A37,'James-Update'!A:A,'James-Update'!F:F,""),"")</f>
        <v/>
      </c>
      <c r="D37" s="31" t="str">
        <f>IFERROR(_xlfn.XLOOKUP(A37,'James-Update'!A:A,'James-Update'!S:S,""),"")</f>
        <v/>
      </c>
      <c r="E37" s="31" t="str">
        <f>IFERROR(_xlfn.XLOOKUP(A37,'James-Update'!A:A,'James-Update'!I:I,""),"")</f>
        <v/>
      </c>
      <c r="F37" s="31" t="str">
        <f>IFERROR(_xlfn.XLOOKUP(A37,'James-Update'!A:A,'James-Update'!K:K,""),"")</f>
        <v/>
      </c>
      <c r="G37" s="31" t="str">
        <f>IFERROR(_xlfn.XLOOKUP(A37,'James-Update'!A:A,'James-Update'!H:H,""),"")</f>
        <v/>
      </c>
      <c r="H37" s="31" t="str">
        <f>IFERROR(_xlfn.XLOOKUP(A37,'James-Update'!A:A,'James-Update'!J:J,""),"")</f>
        <v/>
      </c>
      <c r="I37" s="31" t="str">
        <f>IFERROR(_xlfn.XLOOKUP(A37,'James-Update'!A:A,'James-Update'!R:R,""),"")</f>
        <v/>
      </c>
      <c r="J37" s="31" t="str">
        <f>IFERROR(_xlfn.XLOOKUP(A37,'James-Update'!A:A,'James-Update'!T:T,""),"")</f>
        <v/>
      </c>
      <c r="K37" s="31" t="str">
        <f>IFERROR(_xlfn.XLOOKUP(A37,'James-Update'!A:A,'James-Update'!W:W,""),"")</f>
        <v/>
      </c>
      <c r="L37" s="31" t="str">
        <f>IFERROR(_xlfn.XLOOKUP(A37,'James-Update'!A:A,'James-Update'!X:X,""),"")</f>
        <v/>
      </c>
      <c r="M37" s="32" t="str">
        <f t="shared" si="0"/>
        <v/>
      </c>
      <c r="N37" s="32" t="str">
        <f>IFERROR(_xlfn.XLOOKUP(A37,'James-Update'!A:A,'James-Update'!O:O,""),"")</f>
        <v/>
      </c>
    </row>
    <row r="38" spans="1:14" x14ac:dyDescent="0.55000000000000004">
      <c r="A38" t="str">
        <f>IF('James-Update'!A39="","",'James-Update'!A39)</f>
        <v/>
      </c>
      <c r="B38" t="str">
        <f>IF(A38="", "", IF(_xlfn.XLOOKUP(A38, 'James-Update'!A:A, 'James-Update'!E:E, "")="", "", _xlfn.XLOOKUP(A38, 'James-Update'!A:A, 'James-Update'!E:E, "")))</f>
        <v/>
      </c>
      <c r="C38" t="str">
        <f>IFERROR(_xlfn.XLOOKUP(A38,'James-Update'!A:A,'James-Update'!F:F,""),"")</f>
        <v/>
      </c>
      <c r="D38" s="31" t="str">
        <f>IFERROR(_xlfn.XLOOKUP(A38,'James-Update'!A:A,'James-Update'!S:S,""),"")</f>
        <v/>
      </c>
      <c r="E38" s="31" t="str">
        <f>IFERROR(_xlfn.XLOOKUP(A38,'James-Update'!A:A,'James-Update'!I:I,""),"")</f>
        <v/>
      </c>
      <c r="F38" s="31" t="str">
        <f>IFERROR(_xlfn.XLOOKUP(A38,'James-Update'!A:A,'James-Update'!K:K,""),"")</f>
        <v/>
      </c>
      <c r="G38" s="31" t="str">
        <f>IFERROR(_xlfn.XLOOKUP(A38,'James-Update'!A:A,'James-Update'!H:H,""),"")</f>
        <v/>
      </c>
      <c r="H38" s="31" t="str">
        <f>IFERROR(_xlfn.XLOOKUP(A38,'James-Update'!A:A,'James-Update'!J:J,""),"")</f>
        <v/>
      </c>
      <c r="I38" s="31" t="str">
        <f>IFERROR(_xlfn.XLOOKUP(A38,'James-Update'!A:A,'James-Update'!R:R,""),"")</f>
        <v/>
      </c>
      <c r="J38" s="31" t="str">
        <f>IFERROR(_xlfn.XLOOKUP(A38,'James-Update'!A:A,'James-Update'!T:T,""),"")</f>
        <v/>
      </c>
      <c r="K38" s="31" t="str">
        <f>IFERROR(_xlfn.XLOOKUP(A38,'James-Update'!A:A,'James-Update'!W:W,""),"")</f>
        <v/>
      </c>
      <c r="L38" s="31" t="str">
        <f>IFERROR(_xlfn.XLOOKUP(A38,'James-Update'!A:A,'James-Update'!X:X,""),"")</f>
        <v/>
      </c>
      <c r="M38" s="32" t="str">
        <f t="shared" si="0"/>
        <v/>
      </c>
      <c r="N38" s="32" t="str">
        <f>IFERROR(_xlfn.XLOOKUP(A38,'James-Update'!A:A,'James-Update'!O:O,""),"")</f>
        <v/>
      </c>
    </row>
    <row r="39" spans="1:14" x14ac:dyDescent="0.55000000000000004">
      <c r="A39" t="str">
        <f>IF('James-Update'!A40="","",'James-Update'!A40)</f>
        <v/>
      </c>
      <c r="B39" t="str">
        <f>IF(A39="", "", IF(_xlfn.XLOOKUP(A39, 'James-Update'!A:A, 'James-Update'!E:E, "")="", "", _xlfn.XLOOKUP(A39, 'James-Update'!A:A, 'James-Update'!E:E, "")))</f>
        <v/>
      </c>
      <c r="C39" t="str">
        <f>IFERROR(_xlfn.XLOOKUP(A39,'James-Update'!A:A,'James-Update'!F:F,""),"")</f>
        <v/>
      </c>
      <c r="D39" s="31" t="str">
        <f>IFERROR(_xlfn.XLOOKUP(A39,'James-Update'!A:A,'James-Update'!S:S,""),"")</f>
        <v/>
      </c>
      <c r="E39" s="31" t="str">
        <f>IFERROR(_xlfn.XLOOKUP(A39,'James-Update'!A:A,'James-Update'!I:I,""),"")</f>
        <v/>
      </c>
      <c r="F39" s="31" t="str">
        <f>IFERROR(_xlfn.XLOOKUP(A39,'James-Update'!A:A,'James-Update'!K:K,""),"")</f>
        <v/>
      </c>
      <c r="G39" s="31" t="str">
        <f>IFERROR(_xlfn.XLOOKUP(A39,'James-Update'!A:A,'James-Update'!H:H,""),"")</f>
        <v/>
      </c>
      <c r="H39" s="31" t="str">
        <f>IFERROR(_xlfn.XLOOKUP(A39,'James-Update'!A:A,'James-Update'!J:J,""),"")</f>
        <v/>
      </c>
      <c r="I39" s="31" t="str">
        <f>IFERROR(_xlfn.XLOOKUP(A39,'James-Update'!A:A,'James-Update'!R:R,""),"")</f>
        <v/>
      </c>
      <c r="J39" s="31" t="str">
        <f>IFERROR(_xlfn.XLOOKUP(A39,'James-Update'!A:A,'James-Update'!T:T,""),"")</f>
        <v/>
      </c>
      <c r="K39" s="31" t="str">
        <f>IFERROR(_xlfn.XLOOKUP(A39,'James-Update'!A:A,'James-Update'!W:W,""),"")</f>
        <v/>
      </c>
      <c r="L39" s="31" t="str">
        <f>IFERROR(_xlfn.XLOOKUP(A39,'James-Update'!A:A,'James-Update'!X:X,""),"")</f>
        <v/>
      </c>
      <c r="M39" s="32" t="str">
        <f t="shared" si="0"/>
        <v/>
      </c>
      <c r="N39" s="32" t="str">
        <f>IFERROR(_xlfn.XLOOKUP(A39,'James-Update'!A:A,'James-Update'!O:O,""),"")</f>
        <v/>
      </c>
    </row>
    <row r="40" spans="1:14" x14ac:dyDescent="0.55000000000000004">
      <c r="A40" t="str">
        <f>IF('James-Update'!A41="","",'James-Update'!A41)</f>
        <v/>
      </c>
      <c r="B40" t="str">
        <f>IF(A40="", "", IF(_xlfn.XLOOKUP(A40, 'James-Update'!A:A, 'James-Update'!E:E, "")="", "", _xlfn.XLOOKUP(A40, 'James-Update'!A:A, 'James-Update'!E:E, "")))</f>
        <v/>
      </c>
      <c r="C40" t="str">
        <f>IFERROR(_xlfn.XLOOKUP(A40,'James-Update'!A:A,'James-Update'!F:F,""),"")</f>
        <v/>
      </c>
      <c r="D40" s="31" t="str">
        <f>IFERROR(_xlfn.XLOOKUP(A40,'James-Update'!A:A,'James-Update'!S:S,""),"")</f>
        <v/>
      </c>
      <c r="E40" s="31" t="str">
        <f>IFERROR(_xlfn.XLOOKUP(A40,'James-Update'!A:A,'James-Update'!I:I,""),"")</f>
        <v/>
      </c>
      <c r="F40" s="31" t="str">
        <f>IFERROR(_xlfn.XLOOKUP(A40,'James-Update'!A:A,'James-Update'!K:K,""),"")</f>
        <v/>
      </c>
      <c r="G40" s="31" t="str">
        <f>IFERROR(_xlfn.XLOOKUP(A40,'James-Update'!A:A,'James-Update'!H:H,""),"")</f>
        <v/>
      </c>
      <c r="H40" s="31" t="str">
        <f>IFERROR(_xlfn.XLOOKUP(A40,'James-Update'!A:A,'James-Update'!J:J,""),"")</f>
        <v/>
      </c>
      <c r="I40" s="31" t="str">
        <f>IFERROR(_xlfn.XLOOKUP(A40,'James-Update'!A:A,'James-Update'!R:R,""),"")</f>
        <v/>
      </c>
      <c r="J40" s="31" t="str">
        <f>IFERROR(_xlfn.XLOOKUP(A40,'James-Update'!A:A,'James-Update'!T:T,""),"")</f>
        <v/>
      </c>
      <c r="K40" s="31" t="str">
        <f>IFERROR(_xlfn.XLOOKUP(A40,'James-Update'!A:A,'James-Update'!W:W,""),"")</f>
        <v/>
      </c>
      <c r="L40" s="31" t="str">
        <f>IFERROR(_xlfn.XLOOKUP(A40,'James-Update'!A:A,'James-Update'!X:X,""),"")</f>
        <v/>
      </c>
      <c r="M40" s="32" t="str">
        <f t="shared" si="0"/>
        <v/>
      </c>
      <c r="N40" s="32" t="str">
        <f>IFERROR(_xlfn.XLOOKUP(A40,'James-Update'!A:A,'James-Update'!O:O,""),"")</f>
        <v/>
      </c>
    </row>
    <row r="41" spans="1:14" x14ac:dyDescent="0.55000000000000004">
      <c r="A41" t="str">
        <f>IF('James-Update'!A42="","",'James-Update'!A42)</f>
        <v/>
      </c>
      <c r="B41" t="str">
        <f>IF(A41="", "", IF(_xlfn.XLOOKUP(A41, 'James-Update'!A:A, 'James-Update'!E:E, "")="", "", _xlfn.XLOOKUP(A41, 'James-Update'!A:A, 'James-Update'!E:E, "")))</f>
        <v/>
      </c>
      <c r="C41" t="str">
        <f>IFERROR(_xlfn.XLOOKUP(A41,'James-Update'!A:A,'James-Update'!F:F,""),"")</f>
        <v/>
      </c>
      <c r="D41" s="31" t="str">
        <f>IFERROR(_xlfn.XLOOKUP(A41,'James-Update'!A:A,'James-Update'!S:S,""),"")</f>
        <v/>
      </c>
      <c r="E41" s="31" t="str">
        <f>IFERROR(_xlfn.XLOOKUP(A41,'James-Update'!A:A,'James-Update'!I:I,""),"")</f>
        <v/>
      </c>
      <c r="F41" s="31" t="str">
        <f>IFERROR(_xlfn.XLOOKUP(A41,'James-Update'!A:A,'James-Update'!K:K,""),"")</f>
        <v/>
      </c>
      <c r="G41" s="31" t="str">
        <f>IFERROR(_xlfn.XLOOKUP(A41,'James-Update'!A:A,'James-Update'!H:H,""),"")</f>
        <v/>
      </c>
      <c r="H41" s="31" t="str">
        <f>IFERROR(_xlfn.XLOOKUP(A41,'James-Update'!A:A,'James-Update'!J:J,""),"")</f>
        <v/>
      </c>
      <c r="I41" s="31" t="str">
        <f>IFERROR(_xlfn.XLOOKUP(A41,'James-Update'!A:A,'James-Update'!R:R,""),"")</f>
        <v/>
      </c>
      <c r="J41" s="31" t="str">
        <f>IFERROR(_xlfn.XLOOKUP(A41,'James-Update'!A:A,'James-Update'!T:T,""),"")</f>
        <v/>
      </c>
      <c r="K41" s="31" t="str">
        <f>IFERROR(_xlfn.XLOOKUP(A41,'James-Update'!A:A,'James-Update'!W:W,""),"")</f>
        <v/>
      </c>
      <c r="L41" s="31" t="str">
        <f>IFERROR(_xlfn.XLOOKUP(A41,'James-Update'!A:A,'James-Update'!X:X,""),"")</f>
        <v/>
      </c>
      <c r="M41" s="32" t="str">
        <f t="shared" si="0"/>
        <v/>
      </c>
      <c r="N41" s="32" t="str">
        <f>IFERROR(_xlfn.XLOOKUP(A41,'James-Update'!A:A,'James-Update'!O:O,""),"")</f>
        <v/>
      </c>
    </row>
    <row r="42" spans="1:14" x14ac:dyDescent="0.55000000000000004">
      <c r="A42" t="str">
        <f>IF('James-Update'!A43="","",'James-Update'!A43)</f>
        <v/>
      </c>
      <c r="B42" t="str">
        <f>IF(A42="", "", IF(_xlfn.XLOOKUP(A42, 'James-Update'!A:A, 'James-Update'!E:E, "")="", "", _xlfn.XLOOKUP(A42, 'James-Update'!A:A, 'James-Update'!E:E, "")))</f>
        <v/>
      </c>
      <c r="C42" t="str">
        <f>IFERROR(_xlfn.XLOOKUP(A42,'James-Update'!A:A,'James-Update'!F:F,""),"")</f>
        <v/>
      </c>
      <c r="D42" s="31" t="str">
        <f>IFERROR(_xlfn.XLOOKUP(A42,'James-Update'!A:A,'James-Update'!S:S,""),"")</f>
        <v/>
      </c>
      <c r="E42" s="31" t="str">
        <f>IFERROR(_xlfn.XLOOKUP(A42,'James-Update'!A:A,'James-Update'!I:I,""),"")</f>
        <v/>
      </c>
      <c r="F42" s="31" t="str">
        <f>IFERROR(_xlfn.XLOOKUP(A42,'James-Update'!A:A,'James-Update'!K:K,""),"")</f>
        <v/>
      </c>
      <c r="G42" s="31" t="str">
        <f>IFERROR(_xlfn.XLOOKUP(A42,'James-Update'!A:A,'James-Update'!H:H,""),"")</f>
        <v/>
      </c>
      <c r="H42" s="31" t="str">
        <f>IFERROR(_xlfn.XLOOKUP(A42,'James-Update'!A:A,'James-Update'!J:J,""),"")</f>
        <v/>
      </c>
      <c r="I42" s="31" t="str">
        <f>IFERROR(_xlfn.XLOOKUP(A42,'James-Update'!A:A,'James-Update'!R:R,""),"")</f>
        <v/>
      </c>
      <c r="J42" s="31" t="str">
        <f>IFERROR(_xlfn.XLOOKUP(A42,'James-Update'!A:A,'James-Update'!T:T,""),"")</f>
        <v/>
      </c>
      <c r="K42" s="31" t="str">
        <f>IFERROR(_xlfn.XLOOKUP(A42,'James-Update'!A:A,'James-Update'!W:W,""),"")</f>
        <v/>
      </c>
      <c r="L42" s="31" t="str">
        <f>IFERROR(_xlfn.XLOOKUP(A42,'James-Update'!A:A,'James-Update'!X:X,""),"")</f>
        <v/>
      </c>
      <c r="M42" s="32" t="str">
        <f t="shared" si="0"/>
        <v/>
      </c>
      <c r="N42" s="32" t="str">
        <f>IFERROR(_xlfn.XLOOKUP(A42,'James-Update'!A:A,'James-Update'!O:O,""),"")</f>
        <v/>
      </c>
    </row>
    <row r="43" spans="1:14" x14ac:dyDescent="0.55000000000000004">
      <c r="A43" t="str">
        <f>IF('James-Update'!A44="","",'James-Update'!A44)</f>
        <v/>
      </c>
      <c r="B43" t="str">
        <f>IF(A43="", "", IF(_xlfn.XLOOKUP(A43, 'James-Update'!A:A, 'James-Update'!E:E, "")="", "", _xlfn.XLOOKUP(A43, 'James-Update'!A:A, 'James-Update'!E:E, "")))</f>
        <v/>
      </c>
      <c r="C43" t="str">
        <f>IFERROR(_xlfn.XLOOKUP(A43,'James-Update'!A:A,'James-Update'!F:F,""),"")</f>
        <v/>
      </c>
      <c r="D43" s="31" t="str">
        <f>IFERROR(_xlfn.XLOOKUP(A43,'James-Update'!A:A,'James-Update'!S:S,""),"")</f>
        <v/>
      </c>
      <c r="E43" s="31" t="str">
        <f>IFERROR(_xlfn.XLOOKUP(A43,'James-Update'!A:A,'James-Update'!I:I,""),"")</f>
        <v/>
      </c>
      <c r="F43" s="31" t="str">
        <f>IFERROR(_xlfn.XLOOKUP(A43,'James-Update'!A:A,'James-Update'!K:K,""),"")</f>
        <v/>
      </c>
      <c r="G43" s="31" t="str">
        <f>IFERROR(_xlfn.XLOOKUP(A43,'James-Update'!A:A,'James-Update'!H:H,""),"")</f>
        <v/>
      </c>
      <c r="H43" s="31" t="str">
        <f>IFERROR(_xlfn.XLOOKUP(A43,'James-Update'!A:A,'James-Update'!J:J,""),"")</f>
        <v/>
      </c>
      <c r="I43" s="31" t="str">
        <f>IFERROR(_xlfn.XLOOKUP(A43,'James-Update'!A:A,'James-Update'!R:R,""),"")</f>
        <v/>
      </c>
      <c r="J43" s="31" t="str">
        <f>IFERROR(_xlfn.XLOOKUP(A43,'James-Update'!A:A,'James-Update'!T:T,""),"")</f>
        <v/>
      </c>
      <c r="K43" s="31" t="str">
        <f>IFERROR(_xlfn.XLOOKUP(A43,'James-Update'!A:A,'James-Update'!W:W,""),"")</f>
        <v/>
      </c>
      <c r="L43" s="31" t="str">
        <f>IFERROR(_xlfn.XLOOKUP(A43,'James-Update'!A:A,'James-Update'!X:X,""),"")</f>
        <v/>
      </c>
      <c r="M43" s="32" t="str">
        <f t="shared" si="0"/>
        <v/>
      </c>
      <c r="N43" s="32" t="str">
        <f>IFERROR(_xlfn.XLOOKUP(A43,'James-Update'!A:A,'James-Update'!O:O,""),"")</f>
        <v/>
      </c>
    </row>
    <row r="44" spans="1:14" x14ac:dyDescent="0.55000000000000004">
      <c r="A44" t="str">
        <f>IF('James-Update'!A45="","",'James-Update'!A45)</f>
        <v/>
      </c>
      <c r="B44" t="str">
        <f>IF(A44="", "", IF(_xlfn.XLOOKUP(A44, 'James-Update'!A:A, 'James-Update'!E:E, "")="", "", _xlfn.XLOOKUP(A44, 'James-Update'!A:A, 'James-Update'!E:E, "")))</f>
        <v/>
      </c>
      <c r="C44" t="str">
        <f>IFERROR(_xlfn.XLOOKUP(A44,'James-Update'!A:A,'James-Update'!F:F,""),"")</f>
        <v/>
      </c>
      <c r="D44" s="31" t="str">
        <f>IFERROR(_xlfn.XLOOKUP(A44,'James-Update'!A:A,'James-Update'!S:S,""),"")</f>
        <v/>
      </c>
      <c r="E44" s="31" t="str">
        <f>IFERROR(_xlfn.XLOOKUP(A44,'James-Update'!A:A,'James-Update'!I:I,""),"")</f>
        <v/>
      </c>
      <c r="F44" s="31" t="str">
        <f>IFERROR(_xlfn.XLOOKUP(A44,'James-Update'!A:A,'James-Update'!K:K,""),"")</f>
        <v/>
      </c>
      <c r="G44" s="31" t="str">
        <f>IFERROR(_xlfn.XLOOKUP(A44,'James-Update'!A:A,'James-Update'!H:H,""),"")</f>
        <v/>
      </c>
      <c r="H44" s="31" t="str">
        <f>IFERROR(_xlfn.XLOOKUP(A44,'James-Update'!A:A,'James-Update'!J:J,""),"")</f>
        <v/>
      </c>
      <c r="I44" s="31" t="str">
        <f>IFERROR(_xlfn.XLOOKUP(A44,'James-Update'!A:A,'James-Update'!R:R,""),"")</f>
        <v/>
      </c>
      <c r="J44" s="31" t="str">
        <f>IFERROR(_xlfn.XLOOKUP(A44,'James-Update'!A:A,'James-Update'!T:T,""),"")</f>
        <v/>
      </c>
      <c r="K44" s="31" t="str">
        <f>IFERROR(_xlfn.XLOOKUP(A44,'James-Update'!A:A,'James-Update'!W:W,""),"")</f>
        <v/>
      </c>
      <c r="L44" s="31" t="str">
        <f>IFERROR(_xlfn.XLOOKUP(A44,'James-Update'!A:A,'James-Update'!X:X,""),"")</f>
        <v/>
      </c>
      <c r="M44" s="32" t="str">
        <f t="shared" si="0"/>
        <v/>
      </c>
      <c r="N44" s="32" t="str">
        <f>IFERROR(_xlfn.XLOOKUP(A44,'James-Update'!A:A,'James-Update'!O:O,""),"")</f>
        <v/>
      </c>
    </row>
    <row r="45" spans="1:14" x14ac:dyDescent="0.55000000000000004">
      <c r="A45" t="str">
        <f>IF('James-Update'!A46="","",'James-Update'!A46)</f>
        <v/>
      </c>
      <c r="B45" t="str">
        <f>IF(A45="", "", IF(_xlfn.XLOOKUP(A45, 'James-Update'!A:A, 'James-Update'!E:E, "")="", "", _xlfn.XLOOKUP(A45, 'James-Update'!A:A, 'James-Update'!E:E, "")))</f>
        <v/>
      </c>
      <c r="C45" t="str">
        <f>IFERROR(_xlfn.XLOOKUP(A45,'James-Update'!A:A,'James-Update'!F:F,""),"")</f>
        <v/>
      </c>
      <c r="D45" s="31" t="str">
        <f>IFERROR(_xlfn.XLOOKUP(A45,'James-Update'!A:A,'James-Update'!S:S,""),"")</f>
        <v/>
      </c>
      <c r="E45" s="31" t="str">
        <f>IFERROR(_xlfn.XLOOKUP(A45,'James-Update'!A:A,'James-Update'!I:I,""),"")</f>
        <v/>
      </c>
      <c r="F45" s="31" t="str">
        <f>IFERROR(_xlfn.XLOOKUP(A45,'James-Update'!A:A,'James-Update'!K:K,""),"")</f>
        <v/>
      </c>
      <c r="G45" s="31" t="str">
        <f>IFERROR(_xlfn.XLOOKUP(A45,'James-Update'!A:A,'James-Update'!H:H,""),"")</f>
        <v/>
      </c>
      <c r="H45" s="31" t="str">
        <f>IFERROR(_xlfn.XLOOKUP(A45,'James-Update'!A:A,'James-Update'!J:J,""),"")</f>
        <v/>
      </c>
      <c r="I45" s="31" t="str">
        <f>IFERROR(_xlfn.XLOOKUP(A45,'James-Update'!A:A,'James-Update'!R:R,""),"")</f>
        <v/>
      </c>
      <c r="J45" s="31" t="str">
        <f>IFERROR(_xlfn.XLOOKUP(A45,'James-Update'!A:A,'James-Update'!T:T,""),"")</f>
        <v/>
      </c>
      <c r="K45" s="31" t="str">
        <f>IFERROR(_xlfn.XLOOKUP(A45,'James-Update'!A:A,'James-Update'!W:W,""),"")</f>
        <v/>
      </c>
      <c r="L45" s="31" t="str">
        <f>IFERROR(_xlfn.XLOOKUP(A45,'James-Update'!A:A,'James-Update'!X:X,""),"")</f>
        <v/>
      </c>
      <c r="M45" s="32" t="str">
        <f t="shared" si="0"/>
        <v/>
      </c>
      <c r="N45" s="32" t="str">
        <f>IFERROR(_xlfn.XLOOKUP(A45,'James-Update'!A:A,'James-Update'!O:O,""),"")</f>
        <v/>
      </c>
    </row>
    <row r="46" spans="1:14" x14ac:dyDescent="0.55000000000000004">
      <c r="A46" t="str">
        <f>IF('James-Update'!A47="","",'James-Update'!A47)</f>
        <v/>
      </c>
      <c r="B46" t="str">
        <f>IF(A46="", "", IF(_xlfn.XLOOKUP(A46, 'James-Update'!A:A, 'James-Update'!E:E, "")="", "", _xlfn.XLOOKUP(A46, 'James-Update'!A:A, 'James-Update'!E:E, "")))</f>
        <v/>
      </c>
      <c r="C46" t="str">
        <f>IFERROR(_xlfn.XLOOKUP(A46,'James-Update'!A:A,'James-Update'!F:F,""),"")</f>
        <v/>
      </c>
      <c r="D46" s="31" t="str">
        <f>IFERROR(_xlfn.XLOOKUP(A46,'James-Update'!A:A,'James-Update'!S:S,""),"")</f>
        <v/>
      </c>
      <c r="E46" s="31" t="str">
        <f>IFERROR(_xlfn.XLOOKUP(A46,'James-Update'!A:A,'James-Update'!I:I,""),"")</f>
        <v/>
      </c>
      <c r="F46" s="31" t="str">
        <f>IFERROR(_xlfn.XLOOKUP(A46,'James-Update'!A:A,'James-Update'!K:K,""),"")</f>
        <v/>
      </c>
      <c r="G46" s="31" t="str">
        <f>IFERROR(_xlfn.XLOOKUP(A46,'James-Update'!A:A,'James-Update'!H:H,""),"")</f>
        <v/>
      </c>
      <c r="H46" s="31" t="str">
        <f>IFERROR(_xlfn.XLOOKUP(A46,'James-Update'!A:A,'James-Update'!J:J,""),"")</f>
        <v/>
      </c>
      <c r="I46" s="31" t="str">
        <f>IFERROR(_xlfn.XLOOKUP(A46,'James-Update'!A:A,'James-Update'!R:R,""),"")</f>
        <v/>
      </c>
      <c r="J46" s="31" t="str">
        <f>IFERROR(_xlfn.XLOOKUP(A46,'James-Update'!A:A,'James-Update'!T:T,""),"")</f>
        <v/>
      </c>
      <c r="K46" s="31" t="str">
        <f>IFERROR(_xlfn.XLOOKUP(A46,'James-Update'!A:A,'James-Update'!W:W,""),"")</f>
        <v/>
      </c>
      <c r="L46" s="31" t="str">
        <f>IFERROR(_xlfn.XLOOKUP(A46,'James-Update'!A:A,'James-Update'!X:X,""),"")</f>
        <v/>
      </c>
      <c r="M46" s="32" t="str">
        <f t="shared" si="0"/>
        <v/>
      </c>
      <c r="N46" s="32" t="str">
        <f>IFERROR(_xlfn.XLOOKUP(A46,'James-Update'!A:A,'James-Update'!O:O,""),"")</f>
        <v/>
      </c>
    </row>
    <row r="47" spans="1:14" x14ac:dyDescent="0.55000000000000004">
      <c r="A47" t="str">
        <f>IF('James-Update'!A48="","",'James-Update'!A48)</f>
        <v/>
      </c>
      <c r="B47" t="str">
        <f>IF(A47="", "", IF(_xlfn.XLOOKUP(A47, 'James-Update'!A:A, 'James-Update'!E:E, "")="", "", _xlfn.XLOOKUP(A47, 'James-Update'!A:A, 'James-Update'!E:E, "")))</f>
        <v/>
      </c>
      <c r="C47" t="str">
        <f>IFERROR(_xlfn.XLOOKUP(A47,'James-Update'!A:A,'James-Update'!F:F,""),"")</f>
        <v/>
      </c>
      <c r="D47" s="31" t="str">
        <f>IFERROR(_xlfn.XLOOKUP(A47,'James-Update'!A:A,'James-Update'!S:S,""),"")</f>
        <v/>
      </c>
      <c r="E47" s="31" t="str">
        <f>IFERROR(_xlfn.XLOOKUP(A47,'James-Update'!A:A,'James-Update'!I:I,""),"")</f>
        <v/>
      </c>
      <c r="F47" s="31" t="str">
        <f>IFERROR(_xlfn.XLOOKUP(A47,'James-Update'!A:A,'James-Update'!K:K,""),"")</f>
        <v/>
      </c>
      <c r="G47" s="31" t="str">
        <f>IFERROR(_xlfn.XLOOKUP(A47,'James-Update'!A:A,'James-Update'!H:H,""),"")</f>
        <v/>
      </c>
      <c r="H47" s="31" t="str">
        <f>IFERROR(_xlfn.XLOOKUP(A47,'James-Update'!A:A,'James-Update'!J:J,""),"")</f>
        <v/>
      </c>
      <c r="I47" s="31" t="str">
        <f>IFERROR(_xlfn.XLOOKUP(A47,'James-Update'!A:A,'James-Update'!R:R,""),"")</f>
        <v/>
      </c>
      <c r="J47" s="31" t="str">
        <f>IFERROR(_xlfn.XLOOKUP(A47,'James-Update'!A:A,'James-Update'!T:T,""),"")</f>
        <v/>
      </c>
      <c r="K47" s="31" t="str">
        <f>IFERROR(_xlfn.XLOOKUP(A47,'James-Update'!A:A,'James-Update'!W:W,""),"")</f>
        <v/>
      </c>
      <c r="L47" s="31" t="str">
        <f>IFERROR(_xlfn.XLOOKUP(A47,'James-Update'!A:A,'James-Update'!X:X,""),"")</f>
        <v/>
      </c>
      <c r="M47" s="32" t="str">
        <f t="shared" si="0"/>
        <v/>
      </c>
      <c r="N47" s="32" t="str">
        <f>IFERROR(_xlfn.XLOOKUP(A47,'James-Update'!A:A,'James-Update'!O:O,""),"")</f>
        <v/>
      </c>
    </row>
    <row r="48" spans="1:14" x14ac:dyDescent="0.55000000000000004">
      <c r="A48" t="str">
        <f>IF('James-Update'!A49="","",'James-Update'!A49)</f>
        <v/>
      </c>
      <c r="B48" t="str">
        <f>IF(A48="", "", IF(_xlfn.XLOOKUP(A48, 'James-Update'!A:A, 'James-Update'!E:E, "")="", "", _xlfn.XLOOKUP(A48, 'James-Update'!A:A, 'James-Update'!E:E, "")))</f>
        <v/>
      </c>
      <c r="C48" t="str">
        <f>IFERROR(_xlfn.XLOOKUP(A48,'James-Update'!A:A,'James-Update'!F:F,""),"")</f>
        <v/>
      </c>
      <c r="D48" s="31" t="str">
        <f>IFERROR(_xlfn.XLOOKUP(A48,'James-Update'!A:A,'James-Update'!S:S,""),"")</f>
        <v/>
      </c>
      <c r="E48" s="31" t="str">
        <f>IFERROR(_xlfn.XLOOKUP(A48,'James-Update'!A:A,'James-Update'!I:I,""),"")</f>
        <v/>
      </c>
      <c r="F48" s="31" t="str">
        <f>IFERROR(_xlfn.XLOOKUP(A48,'James-Update'!A:A,'James-Update'!K:K,""),"")</f>
        <v/>
      </c>
      <c r="G48" s="31" t="str">
        <f>IFERROR(_xlfn.XLOOKUP(A48,'James-Update'!A:A,'James-Update'!H:H,""),"")</f>
        <v/>
      </c>
      <c r="H48" s="31" t="str">
        <f>IFERROR(_xlfn.XLOOKUP(A48,'James-Update'!A:A,'James-Update'!J:J,""),"")</f>
        <v/>
      </c>
      <c r="I48" s="31" t="str">
        <f>IFERROR(_xlfn.XLOOKUP(A48,'James-Update'!A:A,'James-Update'!R:R,""),"")</f>
        <v/>
      </c>
      <c r="J48" s="31" t="str">
        <f>IFERROR(_xlfn.XLOOKUP(A48,'James-Update'!A:A,'James-Update'!T:T,""),"")</f>
        <v/>
      </c>
      <c r="K48" s="31" t="str">
        <f>IFERROR(_xlfn.XLOOKUP(A48,'James-Update'!A:A,'James-Update'!W:W,""),"")</f>
        <v/>
      </c>
      <c r="L48" s="31" t="str">
        <f>IFERROR(_xlfn.XLOOKUP(A48,'James-Update'!A:A,'James-Update'!X:X,""),"")</f>
        <v/>
      </c>
      <c r="M48" s="32" t="str">
        <f t="shared" si="0"/>
        <v/>
      </c>
      <c r="N48" s="32" t="str">
        <f>IFERROR(_xlfn.XLOOKUP(A48,'James-Update'!A:A,'James-Update'!O:O,""),"")</f>
        <v/>
      </c>
    </row>
    <row r="49" spans="1:14" x14ac:dyDescent="0.55000000000000004">
      <c r="A49" t="str">
        <f>IF('James-Update'!A50="","",'James-Update'!A50)</f>
        <v/>
      </c>
      <c r="B49" t="str">
        <f>IF(A49="", "", IF(_xlfn.XLOOKUP(A49, 'James-Update'!A:A, 'James-Update'!E:E, "")="", "", _xlfn.XLOOKUP(A49, 'James-Update'!A:A, 'James-Update'!E:E, "")))</f>
        <v/>
      </c>
      <c r="C49" t="str">
        <f>IFERROR(_xlfn.XLOOKUP(A49,'James-Update'!A:A,'James-Update'!F:F,""),"")</f>
        <v/>
      </c>
      <c r="D49" s="31" t="str">
        <f>IFERROR(_xlfn.XLOOKUP(A49,'James-Update'!A:A,'James-Update'!S:S,""),"")</f>
        <v/>
      </c>
      <c r="E49" s="31" t="str">
        <f>IFERROR(_xlfn.XLOOKUP(A49,'James-Update'!A:A,'James-Update'!I:I,""),"")</f>
        <v/>
      </c>
      <c r="F49" s="31" t="str">
        <f>IFERROR(_xlfn.XLOOKUP(A49,'James-Update'!A:A,'James-Update'!K:K,""),"")</f>
        <v/>
      </c>
      <c r="G49" s="31" t="str">
        <f>IFERROR(_xlfn.XLOOKUP(A49,'James-Update'!A:A,'James-Update'!H:H,""),"")</f>
        <v/>
      </c>
      <c r="H49" s="31" t="str">
        <f>IFERROR(_xlfn.XLOOKUP(A49,'James-Update'!A:A,'James-Update'!J:J,""),"")</f>
        <v/>
      </c>
      <c r="I49" s="31" t="str">
        <f>IFERROR(_xlfn.XLOOKUP(A49,'James-Update'!A:A,'James-Update'!R:R,""),"")</f>
        <v/>
      </c>
      <c r="J49" s="31" t="str">
        <f>IFERROR(_xlfn.XLOOKUP(A49,'James-Update'!A:A,'James-Update'!T:T,""),"")</f>
        <v/>
      </c>
      <c r="K49" s="31" t="str">
        <f>IFERROR(_xlfn.XLOOKUP(A49,'James-Update'!A:A,'James-Update'!W:W,""),"")</f>
        <v/>
      </c>
      <c r="L49" s="31" t="str">
        <f>IFERROR(_xlfn.XLOOKUP(A49,'James-Update'!A:A,'James-Update'!X:X,""),"")</f>
        <v/>
      </c>
      <c r="M49" s="32" t="str">
        <f t="shared" si="0"/>
        <v/>
      </c>
      <c r="N49" s="32" t="str">
        <f>IFERROR(_xlfn.XLOOKUP(A49,'James-Update'!A:A,'James-Update'!O:O,""),"")</f>
        <v/>
      </c>
    </row>
    <row r="50" spans="1:14" x14ac:dyDescent="0.55000000000000004">
      <c r="A50" t="str">
        <f>IF('James-Update'!A51="","",'James-Update'!A51)</f>
        <v/>
      </c>
      <c r="B50" t="str">
        <f>IF(A50="", "", IF(_xlfn.XLOOKUP(A50, 'James-Update'!A:A, 'James-Update'!E:E, "")="", "", _xlfn.XLOOKUP(A50, 'James-Update'!A:A, 'James-Update'!E:E, "")))</f>
        <v/>
      </c>
      <c r="C50" t="str">
        <f>IFERROR(_xlfn.XLOOKUP(A50,'James-Update'!A:A,'James-Update'!F:F,""),"")</f>
        <v/>
      </c>
      <c r="D50" s="31" t="str">
        <f>IFERROR(_xlfn.XLOOKUP(A50,'James-Update'!A:A,'James-Update'!S:S,""),"")</f>
        <v/>
      </c>
      <c r="E50" s="31" t="str">
        <f>IFERROR(_xlfn.XLOOKUP(A50,'James-Update'!A:A,'James-Update'!I:I,""),"")</f>
        <v/>
      </c>
      <c r="F50" s="31" t="str">
        <f>IFERROR(_xlfn.XLOOKUP(A50,'James-Update'!A:A,'James-Update'!K:K,""),"")</f>
        <v/>
      </c>
      <c r="G50" s="31" t="str">
        <f>IFERROR(_xlfn.XLOOKUP(A50,'James-Update'!A:A,'James-Update'!H:H,""),"")</f>
        <v/>
      </c>
      <c r="H50" s="31" t="str">
        <f>IFERROR(_xlfn.XLOOKUP(A50,'James-Update'!A:A,'James-Update'!J:J,""),"")</f>
        <v/>
      </c>
      <c r="I50" s="31" t="str">
        <f>IFERROR(_xlfn.XLOOKUP(A50,'James-Update'!A:A,'James-Update'!R:R,""),"")</f>
        <v/>
      </c>
      <c r="J50" s="31" t="str">
        <f>IFERROR(_xlfn.XLOOKUP(A50,'James-Update'!A:A,'James-Update'!T:T,""),"")</f>
        <v/>
      </c>
      <c r="K50" s="31" t="str">
        <f>IFERROR(_xlfn.XLOOKUP(A50,'James-Update'!A:A,'James-Update'!W:W,""),"")</f>
        <v/>
      </c>
      <c r="L50" s="31" t="str">
        <f>IFERROR(_xlfn.XLOOKUP(A50,'James-Update'!A:A,'James-Update'!X:X,""),"")</f>
        <v/>
      </c>
      <c r="M50" s="32" t="str">
        <f t="shared" si="0"/>
        <v/>
      </c>
      <c r="N50" s="32" t="str">
        <f>IFERROR(_xlfn.XLOOKUP(A50,'James-Update'!A:A,'James-Update'!O:O,""),"")</f>
        <v/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Import_Est_data.ImportData4Excel">
                <anchor moveWithCells="1">
                  <from>
                    <xdr:col>14</xdr:col>
                    <xdr:colOff>259080</xdr:colOff>
                    <xdr:row>1</xdr:row>
                    <xdr:rowOff>11430</xdr:rowOff>
                  </from>
                  <to>
                    <xdr:col>15</xdr:col>
                    <xdr:colOff>754380</xdr:colOff>
                    <xdr:row>2</xdr:row>
                    <xdr:rowOff>163830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632D-D2A8-4E5E-B8F0-0A5C4B74731B}">
  <sheetPr codeName="Sheet4"/>
  <dimension ref="A1:S1"/>
  <sheetViews>
    <sheetView workbookViewId="0">
      <selection sqref="A1:XFD1"/>
    </sheetView>
  </sheetViews>
  <sheetFormatPr defaultRowHeight="14.4" x14ac:dyDescent="0.55000000000000004"/>
  <cols>
    <col min="1" max="1" width="11.15625" customWidth="1"/>
    <col min="2" max="2" width="2.68359375" bestFit="1" customWidth="1"/>
    <col min="3" max="3" width="5.15625" bestFit="1" customWidth="1"/>
    <col min="4" max="4" width="7.9453125" bestFit="1" customWidth="1"/>
    <col min="5" max="5" width="2.68359375" bestFit="1" customWidth="1"/>
    <col min="6" max="6" width="3.68359375" bestFit="1" customWidth="1"/>
    <col min="7" max="7" width="2.68359375" bestFit="1" customWidth="1"/>
    <col min="8" max="8" width="3.68359375" bestFit="1" customWidth="1"/>
    <col min="9" max="9" width="4.15625" bestFit="1" customWidth="1"/>
    <col min="10" max="11" width="5.15625" bestFit="1" customWidth="1"/>
    <col min="12" max="12" width="7.15625" bestFit="1" customWidth="1"/>
    <col min="13" max="13" width="6.15625" bestFit="1" customWidth="1"/>
    <col min="14" max="14" width="4.15625" bestFit="1" customWidth="1"/>
    <col min="15" max="15" width="5.68359375" bestFit="1" customWidth="1"/>
    <col min="16" max="16" width="3.68359375" bestFit="1" customWidth="1"/>
    <col min="17" max="18" width="5.68359375" bestFit="1" customWidth="1"/>
    <col min="19" max="20" width="6.68359375" bestFit="1" customWidth="1"/>
    <col min="23" max="23" width="2.68359375" bestFit="1" customWidth="1"/>
    <col min="29" max="29" width="3.68359375" bestFit="1" customWidth="1"/>
    <col min="34" max="34" width="2.68359375" bestFit="1" customWidth="1"/>
    <col min="40" max="40" width="3.68359375" bestFit="1" customWidth="1"/>
    <col min="45" max="45" width="4.68359375" bestFit="1" customWidth="1"/>
    <col min="49" max="49" width="5.68359375" bestFit="1" customWidth="1"/>
    <col min="52" max="52" width="5.68359375" bestFit="1" customWidth="1"/>
    <col min="55" max="55" width="7.68359375" bestFit="1" customWidth="1"/>
    <col min="56" max="56" width="5.68359375" bestFit="1" customWidth="1"/>
    <col min="58" max="58" width="4.68359375" bestFit="1" customWidth="1"/>
    <col min="62" max="62" width="5.68359375" bestFit="1" customWidth="1"/>
    <col min="65" max="65" width="8.68359375" bestFit="1" customWidth="1"/>
    <col min="69" max="69" width="5.68359375" bestFit="1" customWidth="1"/>
    <col min="72" max="72" width="6.68359375" bestFit="1" customWidth="1"/>
  </cols>
  <sheetData>
    <row r="1" spans="1:19" x14ac:dyDescent="0.55000000000000004">
      <c r="A1" s="25" t="s">
        <v>108</v>
      </c>
      <c r="B1" s="25" t="s">
        <v>91</v>
      </c>
      <c r="C1" s="25" t="s">
        <v>92</v>
      </c>
      <c r="D1" s="25" t="s">
        <v>90</v>
      </c>
      <c r="E1" s="25" t="s">
        <v>93</v>
      </c>
      <c r="F1" s="25" t="s">
        <v>94</v>
      </c>
      <c r="G1" s="25" t="s">
        <v>95</v>
      </c>
      <c r="H1" s="25" t="s">
        <v>96</v>
      </c>
      <c r="I1" s="25" t="s">
        <v>97</v>
      </c>
      <c r="J1" s="25" t="s">
        <v>98</v>
      </c>
      <c r="K1" s="25" t="s">
        <v>99</v>
      </c>
      <c r="L1" s="25" t="s">
        <v>100</v>
      </c>
      <c r="M1" s="25" t="s">
        <v>101</v>
      </c>
      <c r="N1" s="25" t="s">
        <v>102</v>
      </c>
      <c r="O1" s="25" t="s">
        <v>103</v>
      </c>
      <c r="P1" s="25" t="s">
        <v>104</v>
      </c>
      <c r="Q1" s="25" t="s">
        <v>105</v>
      </c>
      <c r="R1" s="25" t="s">
        <v>106</v>
      </c>
      <c r="S1" s="2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Orig</vt:lpstr>
      <vt:lpstr>James-Update</vt:lpstr>
      <vt:lpstr>Estimator-trial</vt:lpstr>
      <vt:lpstr>temp_data</vt:lpstr>
      <vt:lpstr>temp_data!ExternalData_10</vt:lpstr>
      <vt:lpstr>temp_data!ExternalData_11</vt:lpstr>
      <vt:lpstr>temp_data!ExternalData_12</vt:lpstr>
      <vt:lpstr>temp_data!ExternalData_13</vt:lpstr>
      <vt:lpstr>temp_data!ExternalData_14</vt:lpstr>
      <vt:lpstr>temp_data!ExternalData_15</vt:lpstr>
      <vt:lpstr>temp_data!ExternalData_16</vt:lpstr>
      <vt:lpstr>temp_data!ExternalData_17</vt:lpstr>
      <vt:lpstr>temp_data!ExternalData_18</vt:lpstr>
      <vt:lpstr>temp_data!ExternalData_19</vt:lpstr>
      <vt:lpstr>temp_data!ExternalData_20</vt:lpstr>
      <vt:lpstr>temp_data!ExternalData_21</vt:lpstr>
      <vt:lpstr>temp_data!ExternalData_22</vt:lpstr>
      <vt:lpstr>temp_data!ExternalData_23</vt:lpstr>
      <vt:lpstr>temp_data!ExternalData_24</vt:lpstr>
      <vt:lpstr>temp_data!ExternalData_25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Alex</dc:creator>
  <cp:lastModifiedBy>Ho, Lambert</cp:lastModifiedBy>
  <dcterms:created xsi:type="dcterms:W3CDTF">2015-06-05T18:17:20Z</dcterms:created>
  <dcterms:modified xsi:type="dcterms:W3CDTF">2025-12-11T11:34:02Z</dcterms:modified>
</cp:coreProperties>
</file>