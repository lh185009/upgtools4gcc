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h185009\Documents\upgtools4gcc\scripts\"/>
    </mc:Choice>
  </mc:AlternateContent>
  <xr:revisionPtr revIDLastSave="0" documentId="13_ncr:1_{1ADE7ECE-D53A-422A-8BB9-F90E846BB56B}" xr6:coauthVersionLast="47" xr6:coauthVersionMax="47" xr10:uidLastSave="{00000000-0000-0000-0000-000000000000}"/>
  <bookViews>
    <workbookView xWindow="-96" yWindow="-96" windowWidth="23232" windowHeight="13872" activeTab="2" xr2:uid="{00000000-000D-0000-FFFF-FFFF00000000}"/>
  </bookViews>
  <sheets>
    <sheet name="Orig" sheetId="1" r:id="rId1"/>
    <sheet name="James-Update" sheetId="2" r:id="rId2"/>
    <sheet name="Estimator-trial" sheetId="3" r:id="rId3"/>
    <sheet name="temp_data" sheetId="5" r:id="rId4"/>
  </sheets>
  <definedNames>
    <definedName name="_xleta.NOT" hidden="1" xlm="1">#NAME?</definedName>
    <definedName name="_xlpm.Act" hidden="1" xlm="1">#NAME?</definedName>
    <definedName name="_xlpm.ampCap" hidden="1" xlm="1">#NAME?</definedName>
    <definedName name="_xlpm.ampR" hidden="1" xlm="1">#NAME?</definedName>
    <definedName name="_xlpm.ampTerm" hidden="1" xlm="1">#NAME?</definedName>
    <definedName name="_xlpm.baseTerm" hidden="1" xlm="1">#NAME?</definedName>
    <definedName name="_xlpm.calc" hidden="1" xlm="1">#NAME?</definedName>
    <definedName name="_xlpm.CR" hidden="1" xlm="1">#NAME?</definedName>
    <definedName name="_xlpm.distTerm" hidden="1" xlm="1">#NAME?</definedName>
    <definedName name="_xlpm.Dv" hidden="1" xlm="1">#NAME?</definedName>
    <definedName name="_xlpm.Ev" hidden="1" xlm="1">#NAME?</definedName>
    <definedName name="_xlpm.Gv" hidden="1" xlm="1">#NAME?</definedName>
    <definedName name="_xlpm.Hv" hidden="1" xlm="1">#NAME?</definedName>
    <definedName name="_xlpm.Iv" hidden="1" xlm="1">#NAME?</definedName>
    <definedName name="_xlpm.Jv" hidden="1" xlm="1">#NAME?</definedName>
    <definedName name="_xlpm.Kv" hidden="1" xlm="1">#NAME?</definedName>
    <definedName name="_xlpm.logE" hidden="1" xlm="1">#NAME?</definedName>
    <definedName name="_xlpm.Lv" hidden="1" xlm="1">#NAME?</definedName>
    <definedName name="_xlpm.Mv" hidden="1" xlm="1">#NAME?</definedName>
    <definedName name="_xlpm.nodeCap" hidden="1" xlm="1">#NAME?</definedName>
    <definedName name="_xlpm.nodeR" hidden="1" xlm="1">#NAME?</definedName>
    <definedName name="_xlpm.P" hidden="1" xlm="1">#NAME?</definedName>
    <definedName name="_xlpm.sizeScale" hidden="1" xlm="1">#NAME?</definedName>
    <definedName name="_xlpm.sizeTerm" hidden="1" xlm="1">#NAME?</definedName>
    <definedName name="_xlpm.tableTer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50" i="3" l="1"/>
  <c r="B50" i="3" s="1"/>
  <c r="A49" i="3"/>
  <c r="B49" i="3" s="1"/>
  <c r="A48" i="3"/>
  <c r="B48" i="3" s="1"/>
  <c r="A47" i="3"/>
  <c r="B47" i="3" s="1"/>
  <c r="A46" i="3"/>
  <c r="B46" i="3" s="1"/>
  <c r="A45" i="3"/>
  <c r="B45" i="3" s="1"/>
  <c r="A44" i="3"/>
  <c r="B44" i="3" s="1"/>
  <c r="A43" i="3"/>
  <c r="B43" i="3" s="1"/>
  <c r="A31" i="3"/>
  <c r="B31" i="3" s="1"/>
  <c r="A30" i="3"/>
  <c r="B30" i="3" s="1"/>
  <c r="Q52" i="3"/>
  <c r="Q51" i="3"/>
  <c r="Q150" i="3"/>
  <c r="Q149" i="3"/>
  <c r="Q148" i="3"/>
  <c r="Q147" i="3"/>
  <c r="Q146" i="3"/>
  <c r="Q145" i="3"/>
  <c r="Q144" i="3"/>
  <c r="Q143" i="3"/>
  <c r="Q142" i="3"/>
  <c r="Q141" i="3"/>
  <c r="Q140" i="3"/>
  <c r="Q139" i="3"/>
  <c r="Q138" i="3"/>
  <c r="Q137" i="3"/>
  <c r="Q136" i="3"/>
  <c r="Q135" i="3"/>
  <c r="Q134" i="3"/>
  <c r="Q133" i="3"/>
  <c r="Q132" i="3"/>
  <c r="Q131" i="3"/>
  <c r="Q130" i="3"/>
  <c r="Q129" i="3"/>
  <c r="Q128" i="3"/>
  <c r="Q127" i="3"/>
  <c r="Q126" i="3"/>
  <c r="Q125" i="3"/>
  <c r="Q124" i="3"/>
  <c r="Q123" i="3"/>
  <c r="Q122" i="3"/>
  <c r="Q121" i="3"/>
  <c r="Q120" i="3"/>
  <c r="Q119" i="3"/>
  <c r="Q118" i="3"/>
  <c r="Q117" i="3"/>
  <c r="Q116" i="3"/>
  <c r="Q115" i="3"/>
  <c r="Q114" i="3"/>
  <c r="Q113" i="3"/>
  <c r="Q112" i="3"/>
  <c r="Q111" i="3"/>
  <c r="Q110" i="3"/>
  <c r="Q109" i="3"/>
  <c r="Q108" i="3"/>
  <c r="Q107" i="3"/>
  <c r="Q106" i="3"/>
  <c r="Q105" i="3"/>
  <c r="Q104" i="3"/>
  <c r="Q103" i="3"/>
  <c r="Q102" i="3"/>
  <c r="Q101" i="3"/>
  <c r="Q100" i="3"/>
  <c r="Q99" i="3"/>
  <c r="Q98" i="3"/>
  <c r="Q97" i="3"/>
  <c r="Q96" i="3"/>
  <c r="Q95" i="3"/>
  <c r="Q94" i="3"/>
  <c r="Q93" i="3"/>
  <c r="Q92" i="3"/>
  <c r="Q91" i="3"/>
  <c r="Q90" i="3"/>
  <c r="Q89" i="3"/>
  <c r="Q88" i="3"/>
  <c r="Q87" i="3"/>
  <c r="Q86" i="3"/>
  <c r="Q85" i="3"/>
  <c r="Q84" i="3"/>
  <c r="Q83" i="3"/>
  <c r="Q82" i="3"/>
  <c r="Q81" i="3"/>
  <c r="Q80" i="3"/>
  <c r="Q79" i="3"/>
  <c r="Q78" i="3"/>
  <c r="Q77" i="3"/>
  <c r="Q76" i="3"/>
  <c r="Q75" i="3"/>
  <c r="Q74" i="3"/>
  <c r="Q73" i="3"/>
  <c r="Q72" i="3"/>
  <c r="Q71" i="3"/>
  <c r="Q70" i="3"/>
  <c r="Q69" i="3"/>
  <c r="Q68" i="3"/>
  <c r="Q67" i="3"/>
  <c r="Q66" i="3"/>
  <c r="Q65" i="3"/>
  <c r="Q64" i="3"/>
  <c r="Q63" i="3"/>
  <c r="Q62" i="3"/>
  <c r="Q61" i="3"/>
  <c r="Q60" i="3"/>
  <c r="Q59" i="3"/>
  <c r="Q58" i="3"/>
  <c r="Q57" i="3"/>
  <c r="Q56" i="3"/>
  <c r="Q55" i="3"/>
  <c r="Q54" i="3"/>
  <c r="Q53" i="3"/>
  <c r="A51" i="3" l="1"/>
  <c r="A7" i="2" a="1"/>
  <c r="A33" i="2" a="1"/>
  <c r="A37" i="2" a="1"/>
  <c r="A14" i="2" a="1"/>
  <c r="A6" i="2" a="1"/>
  <c r="A36" i="2" a="1"/>
  <c r="A34" i="2" a="1"/>
  <c r="A20" i="2" a="1"/>
  <c r="A10" i="2" a="1"/>
  <c r="A4" i="2" a="1"/>
  <c r="A24" i="2" a="1"/>
  <c r="A27" i="2" a="1"/>
  <c r="A9" i="2" a="1"/>
  <c r="A23" i="2" a="1"/>
  <c r="A16" i="2" a="1"/>
  <c r="A22" i="2" a="1"/>
  <c r="A40" i="2" a="1"/>
  <c r="A12" i="2" a="1"/>
  <c r="A19" i="2" a="1"/>
  <c r="A17" i="2" a="1"/>
  <c r="A11" i="2" a="1"/>
  <c r="A5" i="2" a="1"/>
  <c r="A28" i="2" a="1"/>
  <c r="A39" i="2" a="1"/>
  <c r="A43" i="2" a="1"/>
  <c r="A8" i="2" a="1"/>
  <c r="A13" i="2" a="1"/>
  <c r="A25" i="2" a="1"/>
  <c r="A21" i="2" a="1"/>
  <c r="A18" i="2" a="1"/>
  <c r="A42" i="2" a="1"/>
  <c r="A38" i="2" a="1"/>
  <c r="A30" i="2" a="1"/>
  <c r="A15" i="2" a="1"/>
  <c r="A29" i="2" a="1"/>
  <c r="A3" i="2" a="1"/>
  <c r="A35" i="2" a="1"/>
  <c r="A41" i="2" a="1"/>
  <c r="A26" i="2" a="1"/>
  <c r="A8" i="2" l="1"/>
  <c r="A40" i="2"/>
  <c r="A39" i="3" s="1"/>
  <c r="B39" i="3" s="1"/>
  <c r="A35" i="2"/>
  <c r="A34" i="3" s="1"/>
  <c r="B34" i="3" s="1"/>
  <c r="A34" i="2"/>
  <c r="A33" i="3" s="1"/>
  <c r="B33" i="3" s="1"/>
  <c r="A36" i="2"/>
  <c r="A35" i="3" s="1"/>
  <c r="B35" i="3" s="1"/>
  <c r="A39" i="2"/>
  <c r="A38" i="3" s="1"/>
  <c r="B38" i="3" s="1"/>
  <c r="A41" i="2"/>
  <c r="A40" i="3" s="1"/>
  <c r="B40" i="3" s="1"/>
  <c r="A37" i="2"/>
  <c r="A36" i="3" s="1"/>
  <c r="B36" i="3" s="1"/>
  <c r="A42" i="2"/>
  <c r="A41" i="3" s="1"/>
  <c r="B41" i="3" s="1"/>
  <c r="A33" i="2"/>
  <c r="A32" i="3" s="1"/>
  <c r="B32" i="3" s="1"/>
  <c r="A43" i="2"/>
  <c r="A42" i="3" s="1"/>
  <c r="B42" i="3" s="1"/>
  <c r="A38" i="2"/>
  <c r="A37" i="3" s="1"/>
  <c r="B37" i="3" s="1"/>
  <c r="A30" i="2"/>
  <c r="A29" i="3" s="1"/>
  <c r="B29" i="3" s="1"/>
  <c r="A16" i="2"/>
  <c r="A18" i="2"/>
  <c r="A27" i="2"/>
  <c r="A26" i="3" s="1"/>
  <c r="B26" i="3" s="1"/>
  <c r="A10" i="2"/>
  <c r="A24" i="2"/>
  <c r="A23" i="3" s="1"/>
  <c r="B23" i="3" s="1"/>
  <c r="A14" i="2"/>
  <c r="A21" i="2"/>
  <c r="A12" i="2"/>
  <c r="A28" i="2"/>
  <c r="A27" i="3" s="1"/>
  <c r="B27" i="3" s="1"/>
  <c r="A22" i="2"/>
  <c r="A21" i="3" s="1"/>
  <c r="B21" i="3" s="1"/>
  <c r="A25" i="2"/>
  <c r="A24" i="3" s="1"/>
  <c r="B24" i="3" s="1"/>
  <c r="A19" i="2"/>
  <c r="A11" i="2"/>
  <c r="A13" i="2"/>
  <c r="A17" i="2"/>
  <c r="A9" i="2"/>
  <c r="A26" i="2"/>
  <c r="A25" i="3" s="1"/>
  <c r="B25" i="3" s="1"/>
  <c r="A7" i="2"/>
  <c r="A29" i="2"/>
  <c r="A28" i="3" s="1"/>
  <c r="B28" i="3" s="1"/>
  <c r="A5" i="2"/>
  <c r="A15" i="2"/>
  <c r="A23" i="2"/>
  <c r="A22" i="3" s="1"/>
  <c r="B22" i="3" s="1"/>
  <c r="A6" i="2"/>
  <c r="A4" i="2"/>
  <c r="A20" i="2"/>
  <c r="A3" i="2"/>
  <c r="S3" i="2" a="1"/>
  <c r="T3" i="2" a="1"/>
  <c r="O3" i="2" a="1"/>
  <c r="E3" i="2" a="1"/>
  <c r="V3" i="2" a="1"/>
  <c r="U3" i="2" a="1"/>
  <c r="X3" i="2" a="1"/>
  <c r="P3" i="2" a="1"/>
  <c r="R3" i="2" a="1"/>
  <c r="Y3" i="2" a="1"/>
  <c r="Q3" i="2" a="1"/>
  <c r="W3" i="2" a="1"/>
  <c r="N3" i="2" a="1"/>
  <c r="A20" i="3" l="1"/>
  <c r="A19" i="3"/>
  <c r="A17" i="3"/>
  <c r="A18" i="3"/>
  <c r="A15" i="3"/>
  <c r="A3" i="3"/>
  <c r="A9" i="3"/>
  <c r="A5" i="3"/>
  <c r="A14" i="3"/>
  <c r="A4" i="3"/>
  <c r="A6" i="3"/>
  <c r="A8" i="3"/>
  <c r="A16" i="3"/>
  <c r="A12" i="3"/>
  <c r="A10" i="3"/>
  <c r="A11" i="3"/>
  <c r="A13" i="3"/>
  <c r="A7" i="3"/>
  <c r="Y3" i="2"/>
  <c r="X3" i="2"/>
  <c r="W3" i="2"/>
  <c r="V3" i="2"/>
  <c r="U3" i="2"/>
  <c r="T3" i="2"/>
  <c r="S3" i="2"/>
  <c r="R3" i="2"/>
  <c r="Q3" i="2"/>
  <c r="P3" i="2"/>
  <c r="O3" i="2"/>
  <c r="N3" i="2"/>
  <c r="E3" i="2"/>
  <c r="A2" i="3"/>
  <c r="E2" i="3" l="1"/>
  <c r="L2" i="3"/>
  <c r="K2" i="3"/>
  <c r="F2" i="3"/>
  <c r="N2" i="3"/>
  <c r="M2" i="3"/>
  <c r="B2" i="3"/>
  <c r="D2" i="3"/>
  <c r="W4" i="2" a="1"/>
  <c r="F40" i="2" a="1"/>
  <c r="F29" i="2" a="1"/>
  <c r="F16" i="2" a="1"/>
  <c r="J26" i="2" a="1"/>
  <c r="K36" i="2" a="1"/>
  <c r="V4" i="2" a="1"/>
  <c r="F36" i="2" a="1"/>
  <c r="H6" i="2" a="1"/>
  <c r="Q40" i="2" a="1"/>
  <c r="W10" i="2" a="1"/>
  <c r="Y13" i="2" a="1"/>
  <c r="F18" i="2" a="1"/>
  <c r="G17" i="2" a="1"/>
  <c r="P17" i="2" a="1"/>
  <c r="P35" i="2" a="1"/>
  <c r="I40" i="2" a="1"/>
  <c r="J7" i="2" a="1"/>
  <c r="F42" i="2" a="1"/>
  <c r="M35" i="2" a="1"/>
  <c r="T21" i="2" a="1"/>
  <c r="Y6" i="2" a="1"/>
  <c r="S9" i="2" a="1"/>
  <c r="Y21" i="2" a="1"/>
  <c r="U37" i="2" a="1"/>
  <c r="V29" i="2" a="1"/>
  <c r="W35" i="2" a="1"/>
  <c r="S37" i="2" a="1"/>
  <c r="P11" i="2" a="1"/>
  <c r="I8" i="2" a="1"/>
  <c r="L14" i="2" a="1"/>
  <c r="E8" i="2" a="1"/>
  <c r="P38" i="2" a="1"/>
  <c r="F5" i="2" a="1"/>
  <c r="X41" i="2" a="1"/>
  <c r="P27" i="2" a="1"/>
  <c r="N41" i="2" a="1"/>
  <c r="T33" i="2" a="1"/>
  <c r="M4" i="2" a="1"/>
  <c r="G23" i="2" a="1"/>
  <c r="L42" i="2" a="1"/>
  <c r="M23" i="2" a="1"/>
  <c r="N43" i="2" a="1"/>
  <c r="G19" i="2" a="1"/>
  <c r="L24" i="2" a="1"/>
  <c r="U41" i="2" a="1"/>
  <c r="R17" i="2" a="1"/>
  <c r="W37" i="2" a="1"/>
  <c r="U7" i="2" a="1"/>
  <c r="O18" i="2" a="1"/>
  <c r="V21" i="2" a="1"/>
  <c r="M5" i="2" a="1"/>
  <c r="Y40" i="2" a="1"/>
  <c r="E6" i="2" a="1"/>
  <c r="J39" i="2" a="1"/>
  <c r="P39" i="2" a="1"/>
  <c r="H25" i="2" a="1"/>
  <c r="L26" i="2" a="1"/>
  <c r="H12" i="2" a="1"/>
  <c r="T36" i="2" a="1"/>
  <c r="N19" i="2" a="1"/>
  <c r="L10" i="2" a="1"/>
  <c r="L13" i="2" a="1"/>
  <c r="K13" i="2" a="1"/>
  <c r="Y17" i="2" a="1"/>
  <c r="K31" i="2" a="1"/>
  <c r="G16" i="2" a="1"/>
  <c r="Y23" i="2" a="1"/>
  <c r="P13" i="2" a="1"/>
  <c r="X15" i="2" a="1"/>
  <c r="E31" i="2" a="1"/>
  <c r="L3" i="2" a="1"/>
  <c r="X19" i="2" a="1"/>
  <c r="P30" i="2" a="1"/>
  <c r="I11" i="2" a="1"/>
  <c r="N6" i="2" a="1"/>
  <c r="X20" i="2" a="1"/>
  <c r="Q32" i="2" a="1"/>
  <c r="M38" i="2" a="1"/>
  <c r="O13" i="2" a="1"/>
  <c r="Q5" i="2" a="1"/>
  <c r="T4" i="2" a="1"/>
  <c r="V22" i="2" a="1"/>
  <c r="Q28" i="2" a="1"/>
  <c r="V41" i="2" a="1"/>
  <c r="G34" i="2" a="1"/>
  <c r="G7" i="2" a="1"/>
  <c r="T41" i="2" a="1"/>
  <c r="Q19" i="2" a="1"/>
  <c r="G32" i="2" a="1"/>
  <c r="J31" i="2" a="1"/>
  <c r="I23" i="2" a="1"/>
  <c r="X34" i="2" a="1"/>
  <c r="E30" i="2" a="1"/>
  <c r="U25" i="2" a="1"/>
  <c r="P26" i="2" a="1"/>
  <c r="N29" i="2" a="1"/>
  <c r="E16" i="2" a="1"/>
  <c r="Q14" i="2" a="1"/>
  <c r="Y14" i="2" a="1"/>
  <c r="M11" i="2" a="1"/>
  <c r="M9" i="2" a="1"/>
  <c r="W23" i="2" a="1"/>
  <c r="O32" i="2" a="1"/>
  <c r="I3" i="2" a="1"/>
  <c r="L21" i="2" a="1"/>
  <c r="I29" i="2" a="1"/>
  <c r="W42" i="2" a="1"/>
  <c r="L19" i="2" a="1"/>
  <c r="N39" i="2" a="1"/>
  <c r="G3" i="2" a="1"/>
  <c r="H36" i="2" a="1"/>
  <c r="M29" i="2" a="1"/>
  <c r="O9" i="2" a="1"/>
  <c r="N35" i="2" a="1"/>
  <c r="I27" i="2" a="1"/>
  <c r="E18" i="2" a="1"/>
  <c r="U38" i="2" a="1"/>
  <c r="N33" i="2" a="1"/>
  <c r="N5" i="2" a="1"/>
  <c r="N9" i="2" a="1"/>
  <c r="F31" i="2" a="1"/>
  <c r="S24" i="2" a="1"/>
  <c r="T42" i="2" a="1"/>
  <c r="K20" i="2" a="1"/>
  <c r="O11" i="2" a="1"/>
  <c r="R20" i="2" a="1"/>
  <c r="I17" i="2" a="1"/>
  <c r="F3" i="2" a="1"/>
  <c r="P23" i="2" a="1"/>
  <c r="Q4" i="2" a="1"/>
  <c r="O28" i="2" a="1"/>
  <c r="R23" i="2" a="1"/>
  <c r="H8" i="2" a="1"/>
  <c r="N10" i="2" a="1"/>
  <c r="F27" i="2" a="1"/>
  <c r="M26" i="2" a="1"/>
  <c r="U17" i="2" a="1"/>
  <c r="E29" i="2" a="1"/>
  <c r="W20" i="2" a="1"/>
  <c r="V40" i="2" a="1"/>
  <c r="F4" i="2" a="1"/>
  <c r="G36" i="2" a="1"/>
  <c r="S32" i="2" a="1"/>
  <c r="Y39" i="2" a="1"/>
  <c r="F15" i="2" a="1"/>
  <c r="R36" i="2" a="1"/>
  <c r="U13" i="2" a="1"/>
  <c r="K24" i="2" a="1"/>
  <c r="H41" i="2" a="1"/>
  <c r="S36" i="2" a="1"/>
  <c r="P7" i="2" a="1"/>
  <c r="V28" i="2" a="1"/>
  <c r="V12" i="2" a="1"/>
  <c r="U16" i="2" a="1"/>
  <c r="E27" i="2" a="1"/>
  <c r="L18" i="2" a="1"/>
  <c r="V26" i="2" a="1"/>
  <c r="Q31" i="2" a="1"/>
  <c r="S20" i="2" a="1"/>
  <c r="X17" i="2" a="1"/>
  <c r="E4" i="2" a="1"/>
  <c r="S16" i="2" a="1"/>
  <c r="H19" i="2" a="1"/>
  <c r="F6" i="2" a="1"/>
  <c r="Y9" i="2" a="1"/>
  <c r="O22" i="2" a="1"/>
  <c r="F30" i="2" a="1"/>
  <c r="Q41" i="2" a="1"/>
  <c r="F38" i="2" a="1"/>
  <c r="J16" i="2" a="1"/>
  <c r="Y26" i="2" a="1"/>
  <c r="T8" i="2" a="1"/>
  <c r="W41" i="2" a="1"/>
  <c r="I37" i="2" a="1"/>
  <c r="R15" i="2" a="1"/>
  <c r="Y27" i="2" a="1"/>
  <c r="M25" i="2" a="1"/>
  <c r="Y10" i="2" a="1"/>
  <c r="K7" i="2" a="1"/>
  <c r="Q20" i="2" a="1"/>
  <c r="T6" i="2" a="1"/>
  <c r="R39" i="2" a="1"/>
  <c r="J10" i="2" a="1"/>
  <c r="L27" i="2" a="1"/>
  <c r="X23" i="2" a="1"/>
  <c r="N25" i="2" a="1"/>
  <c r="R43" i="2" a="1"/>
  <c r="O14" i="2" a="1"/>
  <c r="F39" i="2" a="1"/>
  <c r="O5" i="2" a="1"/>
  <c r="Y18" i="2" a="1"/>
  <c r="H26" i="2" a="1"/>
  <c r="P25" i="2" a="1"/>
  <c r="F10" i="2" a="1"/>
  <c r="R9" i="2" a="1"/>
  <c r="O15" i="2" a="1"/>
  <c r="T14" i="2" a="1"/>
  <c r="E43" i="2" a="1"/>
  <c r="P14" i="2" a="1"/>
  <c r="T35" i="2" a="1"/>
  <c r="V19" i="2" a="1"/>
  <c r="L36" i="2" a="1"/>
  <c r="G4" i="2" a="1"/>
  <c r="N27" i="2" a="1"/>
  <c r="R33" i="2" a="1"/>
  <c r="O12" i="2" a="1"/>
  <c r="Y24" i="2" a="1"/>
  <c r="P33" i="2" a="1"/>
  <c r="I32" i="2" a="1"/>
  <c r="M8" i="2" a="1"/>
  <c r="J32" i="2" a="1"/>
  <c r="G24" i="2" a="1"/>
  <c r="K12" i="2" a="1"/>
  <c r="H13" i="2" a="1"/>
  <c r="H9" i="2" a="1"/>
  <c r="I42" i="2" a="1"/>
  <c r="W33" i="2" a="1"/>
  <c r="U6" i="2" a="1"/>
  <c r="S11" i="2" a="1"/>
  <c r="W17" i="2" a="1"/>
  <c r="P40" i="2" a="1"/>
  <c r="H11" i="2" a="1"/>
  <c r="T23" i="2" a="1"/>
  <c r="M22" i="2" a="1"/>
  <c r="W43" i="2" a="1"/>
  <c r="V42" i="2" a="1"/>
  <c r="X43" i="2" a="1"/>
  <c r="K14" i="2" a="1"/>
  <c r="E25" i="2" a="1"/>
  <c r="Y16" i="2" a="1"/>
  <c r="J41" i="2" a="1"/>
  <c r="U29" i="2" a="1"/>
  <c r="S33" i="2" a="1"/>
  <c r="P24" i="2" a="1"/>
  <c r="L28" i="2" a="1"/>
  <c r="E41" i="2" a="1"/>
  <c r="M36" i="2" a="1"/>
  <c r="R12" i="2" a="1"/>
  <c r="R30" i="2" a="1"/>
  <c r="H5" i="2" a="1"/>
  <c r="K21" i="2" a="1"/>
  <c r="T31" i="2" a="1"/>
  <c r="K22" i="2" a="1"/>
  <c r="R32" i="2" a="1"/>
  <c r="O19" i="2" a="1"/>
  <c r="L30" i="2" a="1"/>
  <c r="W36" i="2" a="1"/>
  <c r="E40" i="2" a="1"/>
  <c r="G27" i="2" a="1"/>
  <c r="P19" i="2" a="1"/>
  <c r="E9" i="2" a="1"/>
  <c r="L4" i="2" a="1"/>
  <c r="S39" i="2" a="1"/>
  <c r="W11" i="2" a="1"/>
  <c r="E34" i="2" a="1"/>
  <c r="Y43" i="2" a="1"/>
  <c r="M39" i="2" a="1"/>
  <c r="X22" i="2" a="1"/>
  <c r="P28" i="2" a="1"/>
  <c r="E26" i="2" a="1"/>
  <c r="O8" i="2" a="1"/>
  <c r="F17" i="2" a="1"/>
  <c r="M16" i="2" a="1"/>
  <c r="W27" i="2" a="1"/>
  <c r="G41" i="2" a="1"/>
  <c r="R27" i="2" a="1"/>
  <c r="Q11" i="2" a="1"/>
  <c r="W40" i="2" a="1"/>
  <c r="U33" i="2" a="1"/>
  <c r="P16" i="2" a="1"/>
  <c r="Y29" i="2" a="1"/>
  <c r="J33" i="2" a="1"/>
  <c r="J28" i="2" a="1"/>
  <c r="Q13" i="2" a="1"/>
  <c r="N15" i="2" a="1"/>
  <c r="K30" i="2" a="1"/>
  <c r="E7" i="2" a="1"/>
  <c r="T17" i="2" a="1"/>
  <c r="I13" i="2" a="1"/>
  <c r="V34" i="2" a="1"/>
  <c r="S21" i="2" a="1"/>
  <c r="M13" i="2" a="1"/>
  <c r="U22" i="2" a="1"/>
  <c r="T16" i="2" a="1"/>
  <c r="H22" i="2" a="1"/>
  <c r="Q25" i="2" a="1"/>
  <c r="L43" i="2" a="1"/>
  <c r="H31" i="2" a="1"/>
  <c r="Q23" i="2" a="1"/>
  <c r="H3" i="2" a="1"/>
  <c r="K17" i="2" a="1"/>
  <c r="G39" i="2" a="1"/>
  <c r="Y41" i="2" a="1"/>
  <c r="J36" i="2" a="1"/>
  <c r="R8" i="2" a="1"/>
  <c r="T7" i="2" a="1"/>
  <c r="L31" i="2" a="1"/>
  <c r="F37" i="2" a="1"/>
  <c r="F35" i="2" a="1"/>
  <c r="T29" i="2" a="1"/>
  <c r="E33" i="2" a="1"/>
  <c r="I43" i="2" a="1"/>
  <c r="H34" i="2" a="1"/>
  <c r="U11" i="2" a="1"/>
  <c r="S25" i="2" a="1"/>
  <c r="I6" i="2" a="1"/>
  <c r="R11" i="2" a="1"/>
  <c r="H33" i="2" a="1"/>
  <c r="L6" i="2" a="1"/>
  <c r="T13" i="2" a="1"/>
  <c r="K18" i="2" a="1"/>
  <c r="Y33" i="2" a="1"/>
  <c r="N38" i="2" a="1"/>
  <c r="E21" i="2" a="1"/>
  <c r="O43" i="2" a="1"/>
  <c r="F7" i="2" a="1"/>
  <c r="H40" i="2" a="1"/>
  <c r="U43" i="2" a="1"/>
  <c r="T10" i="2" a="1"/>
  <c r="M41" i="2" a="1"/>
  <c r="R18" i="2" a="1"/>
  <c r="U18" i="2" a="1"/>
  <c r="X24" i="2" a="1"/>
  <c r="W21" i="2" a="1"/>
  <c r="V35" i="2" a="1"/>
  <c r="V14" i="2" a="1"/>
  <c r="W24" i="2" a="1"/>
  <c r="J6" i="2" a="1"/>
  <c r="P20" i="2" a="1"/>
  <c r="W31" i="2" a="1"/>
  <c r="H16" i="2" a="1"/>
  <c r="X7" i="2" a="1"/>
  <c r="G18" i="2" a="1"/>
  <c r="R13" i="2" a="1"/>
  <c r="K35" i="2" a="1"/>
  <c r="M31" i="2" a="1"/>
  <c r="W26" i="2" a="1"/>
  <c r="U9" i="2" a="1"/>
  <c r="R25" i="2" a="1"/>
  <c r="J14" i="2" a="1"/>
  <c r="R29" i="2" a="1"/>
  <c r="N42" i="2" a="1"/>
  <c r="X27" i="2" a="1"/>
  <c r="I39" i="2" a="1"/>
  <c r="H28" i="2" a="1"/>
  <c r="U21" i="2" a="1"/>
  <c r="J4" i="2" a="1"/>
  <c r="N22" i="2" a="1"/>
  <c r="M10" i="2" a="1"/>
  <c r="P43" i="2" a="1"/>
  <c r="R4" i="2" a="1"/>
  <c r="O36" i="2" a="1"/>
  <c r="U32" i="2" a="1"/>
  <c r="M24" i="2" a="1"/>
  <c r="E13" i="2" a="1"/>
  <c r="K39" i="2" a="1"/>
  <c r="Y31" i="2" a="1"/>
  <c r="Y25" i="2" a="1"/>
  <c r="E11" i="2" a="1"/>
  <c r="V13" i="2" a="1"/>
  <c r="E5" i="2" a="1"/>
  <c r="X39" i="2" a="1"/>
  <c r="F34" i="2" a="1"/>
  <c r="Q24" i="2" a="1"/>
  <c r="J17" i="2" a="1"/>
  <c r="E42" i="2" a="1"/>
  <c r="Y15" i="2" a="1"/>
  <c r="T5" i="2" a="1"/>
  <c r="H39" i="2" a="1"/>
  <c r="K6" i="2" a="1"/>
  <c r="F12" i="2" a="1"/>
  <c r="J43" i="2" a="1"/>
  <c r="S27" i="2" a="1"/>
  <c r="T25" i="2" a="1"/>
  <c r="J3" i="2" a="1"/>
  <c r="G40" i="2" a="1"/>
  <c r="T34" i="2" a="1"/>
  <c r="S40" i="2" a="1"/>
  <c r="E36" i="2" a="1"/>
  <c r="T15" i="2" a="1"/>
  <c r="E22" i="2" a="1"/>
  <c r="J15" i="2" a="1"/>
  <c r="E14" i="2" a="1"/>
  <c r="U35" i="2" a="1"/>
  <c r="H37" i="2" a="1"/>
  <c r="V9" i="2" a="1"/>
  <c r="R19" i="2" a="1"/>
  <c r="T39" i="2" a="1"/>
  <c r="T22" i="2" a="1"/>
  <c r="Q7" i="2" a="1"/>
  <c r="W15" i="2" a="1"/>
  <c r="E17" i="2" a="1"/>
  <c r="W13" i="2" a="1"/>
  <c r="X4" i="2" a="1"/>
  <c r="Y42" i="2" a="1"/>
  <c r="N40" i="2" a="1"/>
  <c r="Y20" i="2" a="1"/>
  <c r="G12" i="2" a="1"/>
  <c r="R16" i="2" a="1"/>
  <c r="H29" i="2" a="1"/>
  <c r="F9" i="2" a="1"/>
  <c r="S7" i="2" a="1"/>
  <c r="L41" i="2" a="1"/>
  <c r="W19" i="2" a="1"/>
  <c r="W39" i="2" a="1"/>
  <c r="K19" i="2" a="1"/>
  <c r="P12" i="2" a="1"/>
  <c r="I35" i="2" a="1"/>
  <c r="W12" i="2" a="1"/>
  <c r="P10" i="2" a="1"/>
  <c r="J18" i="2" a="1"/>
  <c r="J37" i="2" a="1"/>
  <c r="F20" i="2" a="1"/>
  <c r="H35" i="2" a="1"/>
  <c r="V8" i="2" a="1"/>
  <c r="U8" i="2" a="1"/>
  <c r="S23" i="2" a="1"/>
  <c r="S29" i="2" a="1"/>
  <c r="K42" i="2" a="1"/>
  <c r="K37" i="2" a="1"/>
  <c r="V15" i="2" a="1"/>
  <c r="G15" i="2" a="1"/>
  <c r="J40" i="2" a="1"/>
  <c r="J38" i="2" a="1"/>
  <c r="E32" i="2" a="1"/>
  <c r="V10" i="2" a="1"/>
  <c r="F25" i="2" a="1"/>
  <c r="S31" i="2" a="1"/>
  <c r="R37" i="2" a="1"/>
  <c r="I15" i="2" a="1"/>
  <c r="K4" i="2" a="1"/>
  <c r="I31" i="2" a="1"/>
  <c r="X33" i="2" a="1"/>
  <c r="L40" i="2" a="1"/>
  <c r="Y4" i="2" a="1"/>
  <c r="U14" i="2" a="1"/>
  <c r="N14" i="2" a="1"/>
  <c r="V27" i="2" a="1"/>
  <c r="M6" i="2" a="1"/>
  <c r="I7" i="2" a="1"/>
  <c r="S38" i="2" a="1"/>
  <c r="O10" i="2" a="1"/>
  <c r="P15" i="2" a="1"/>
  <c r="K33" i="2" a="1"/>
  <c r="Q12" i="2" a="1"/>
  <c r="G30" i="2" a="1"/>
  <c r="I9" i="2" a="1"/>
  <c r="R38" i="2" a="1"/>
  <c r="J21" i="2" a="1"/>
  <c r="I20" i="2" a="1"/>
  <c r="H32" i="2" a="1"/>
  <c r="M21" i="2" a="1"/>
  <c r="S43" i="2" a="1"/>
  <c r="I12" i="2" a="1"/>
  <c r="S30" i="2" a="1"/>
  <c r="X25" i="2" a="1"/>
  <c r="Q36" i="2" a="1"/>
  <c r="S10" i="2" a="1"/>
  <c r="T20" i="2" a="1"/>
  <c r="E35" i="2" a="1"/>
  <c r="U19" i="2" a="1"/>
  <c r="I34" i="2" a="1"/>
  <c r="S17" i="2" a="1"/>
  <c r="V20" i="2" a="1"/>
  <c r="T19" i="2" a="1"/>
  <c r="G35" i="2" a="1"/>
  <c r="U42" i="2" a="1"/>
  <c r="K16" i="2" a="1"/>
  <c r="F11" i="2" a="1"/>
  <c r="R6" i="2" a="1"/>
  <c r="M42" i="2" a="1"/>
  <c r="O34" i="2" a="1"/>
  <c r="F24" i="2" a="1"/>
  <c r="J12" i="2" a="1"/>
  <c r="Y30" i="2" a="1"/>
  <c r="K38" i="2" a="1"/>
  <c r="X42" i="2" a="1"/>
  <c r="P29" i="2" a="1"/>
  <c r="Q6" i="2" a="1"/>
  <c r="O27" i="2" a="1"/>
  <c r="O20" i="2" a="1"/>
  <c r="L8" i="2" a="1"/>
  <c r="J25" i="2" a="1"/>
  <c r="U26" i="2" a="1"/>
  <c r="J35" i="2" a="1"/>
  <c r="S18" i="2" a="1"/>
  <c r="I5" i="2" a="1"/>
  <c r="F22" i="2" a="1"/>
  <c r="U28" i="2" a="1"/>
  <c r="O7" i="2" a="1"/>
  <c r="K34" i="2" a="1"/>
  <c r="L23" i="2" a="1"/>
  <c r="I10" i="2" a="1"/>
  <c r="N30" i="2" a="1"/>
  <c r="Q22" i="2" a="1"/>
  <c r="V31" i="2" a="1"/>
  <c r="V7" i="2" a="1"/>
  <c r="N16" i="2" a="1"/>
  <c r="Q39" i="2" a="1"/>
  <c r="F19" i="2" a="1"/>
  <c r="M7" i="2" a="1"/>
  <c r="G22" i="2" a="1"/>
  <c r="N23" i="2" a="1"/>
  <c r="O23" i="2" a="1"/>
  <c r="P22" i="2" a="1"/>
  <c r="J19" i="2" a="1"/>
  <c r="N18" i="2" a="1"/>
  <c r="S19" i="2" a="1"/>
  <c r="G37" i="2" a="1"/>
  <c r="O17" i="2" a="1"/>
  <c r="S42" i="2" a="1"/>
  <c r="L9" i="2" a="1"/>
  <c r="N26" i="2" a="1"/>
  <c r="H27" i="2" a="1"/>
  <c r="G31" i="2" a="1"/>
  <c r="N31" i="2" a="1"/>
  <c r="O38" i="2" a="1"/>
  <c r="G9" i="2" a="1"/>
  <c r="H42" i="2" a="1"/>
  <c r="P36" i="2" a="1"/>
  <c r="O30" i="2" a="1"/>
  <c r="T37" i="2" a="1"/>
  <c r="T26" i="2" a="1"/>
  <c r="R7" i="2" a="1"/>
  <c r="W30" i="2" a="1"/>
  <c r="R5" i="2" a="1"/>
  <c r="H24" i="2" a="1"/>
  <c r="P4" i="2" a="1"/>
  <c r="L35" i="2" a="1"/>
  <c r="Y11" i="2" a="1"/>
  <c r="M37" i="2" a="1"/>
  <c r="I38" i="2" a="1"/>
  <c r="P32" i="2" a="1"/>
  <c r="L16" i="2" a="1"/>
  <c r="H20" i="2" a="1"/>
  <c r="U40" i="2" a="1"/>
  <c r="I16" i="2" a="1"/>
  <c r="R31" i="2" a="1"/>
  <c r="K27" i="2" a="1"/>
  <c r="O39" i="2" a="1"/>
  <c r="Y5" i="2" a="1"/>
  <c r="M28" i="2" a="1"/>
  <c r="Q38" i="2" a="1"/>
  <c r="Q26" i="2" a="1"/>
  <c r="Q35" i="2" a="1"/>
  <c r="W6" i="2" a="1"/>
  <c r="R34" i="2" a="1"/>
  <c r="S13" i="2" a="1"/>
  <c r="G11" i="2" a="1"/>
  <c r="R28" i="2" a="1"/>
  <c r="Y8" i="2" a="1"/>
  <c r="F14" i="2" a="1"/>
  <c r="I21" i="2" a="1"/>
  <c r="P42" i="2" a="1"/>
  <c r="N21" i="2" a="1"/>
  <c r="S4" i="2" a="1"/>
  <c r="Y32" i="2" a="1"/>
  <c r="K43" i="2" a="1"/>
  <c r="L25" i="2" a="1"/>
  <c r="K5" i="2" a="1"/>
  <c r="L22" i="2" a="1"/>
  <c r="H17" i="2" a="1"/>
  <c r="G42" i="2" a="1"/>
  <c r="T11" i="2" a="1"/>
  <c r="N37" i="2" a="1"/>
  <c r="G13" i="2" a="1"/>
  <c r="O31" i="2" a="1"/>
  <c r="T38" i="2" a="1"/>
  <c r="V6" i="2" a="1"/>
  <c r="W29" i="2" a="1"/>
  <c r="F21" i="2" a="1"/>
  <c r="G5" i="2" a="1"/>
  <c r="X6" i="2" a="1"/>
  <c r="J34" i="2" a="1"/>
  <c r="S35" i="2" a="1"/>
  <c r="M27" i="2" a="1"/>
  <c r="Y22" i="2" a="1"/>
  <c r="O29" i="2" a="1"/>
  <c r="Y34" i="2" a="1"/>
  <c r="J23" i="2" a="1"/>
  <c r="X14" i="2" a="1"/>
  <c r="Q43" i="2" a="1"/>
  <c r="U5" i="2" a="1"/>
  <c r="P34" i="2" a="1"/>
  <c r="X36" i="2" a="1"/>
  <c r="G33" i="2" a="1"/>
  <c r="F32" i="2" a="1"/>
  <c r="V17" i="2" a="1"/>
  <c r="L32" i="2" a="1"/>
  <c r="R41" i="2" a="1"/>
  <c r="L15" i="2" a="1"/>
  <c r="H38" i="2" a="1"/>
  <c r="Q29" i="2" a="1"/>
  <c r="R24" i="2" a="1"/>
  <c r="W18" i="2" a="1"/>
  <c r="E38" i="2" a="1"/>
  <c r="R21" i="2" a="1"/>
  <c r="L11" i="2" a="1"/>
  <c r="J29" i="2" a="1"/>
  <c r="V38" i="2" a="1"/>
  <c r="I19" i="2" a="1"/>
  <c r="T30" i="2" a="1"/>
  <c r="K25" i="2" a="1"/>
  <c r="M14" i="2" a="1"/>
  <c r="N4" i="2" a="1"/>
  <c r="M3" i="2" a="1"/>
  <c r="O37" i="2" a="1"/>
  <c r="I22" i="2" a="1"/>
  <c r="X28" i="2" a="1"/>
  <c r="T27" i="2" a="1"/>
  <c r="Q10" i="2" a="1"/>
  <c r="G8" i="2" a="1"/>
  <c r="U34" i="2" a="1"/>
  <c r="J24" i="2" a="1"/>
  <c r="G10" i="2" a="1"/>
  <c r="Q9" i="2" a="1"/>
  <c r="K11" i="2" a="1"/>
  <c r="V43" i="2" a="1"/>
  <c r="K41" i="2" a="1"/>
  <c r="U15" i="2" a="1"/>
  <c r="Y28" i="2" a="1"/>
  <c r="M34" i="2" a="1"/>
  <c r="U20" i="2" a="1"/>
  <c r="K8" i="2" a="1"/>
  <c r="K28" i="2" a="1"/>
  <c r="R35" i="2" a="1"/>
  <c r="R42" i="2" a="1"/>
  <c r="X40" i="2" a="1"/>
  <c r="L5" i="2" a="1"/>
  <c r="W28" i="2" a="1"/>
  <c r="H4" i="2" a="1"/>
  <c r="L37" i="2" a="1"/>
  <c r="N32" i="2" a="1"/>
  <c r="X31" i="2" a="1"/>
  <c r="G29" i="2" a="1"/>
  <c r="Y36" i="2" a="1"/>
  <c r="H14" i="2" a="1"/>
  <c r="I36" i="2" a="1"/>
  <c r="N17" i="2" a="1"/>
  <c r="X5" i="2" a="1"/>
  <c r="T40" i="2" a="1"/>
  <c r="Y35" i="2" a="1"/>
  <c r="H21" i="2" a="1"/>
  <c r="M32" i="2" a="1"/>
  <c r="O42" i="2" a="1"/>
  <c r="N20" i="2" a="1"/>
  <c r="Q27" i="2" a="1"/>
  <c r="O4" i="2" a="1"/>
  <c r="Y19" i="2" a="1"/>
  <c r="Q21" i="2" a="1"/>
  <c r="X21" i="2" a="1"/>
  <c r="N36" i="2" a="1"/>
  <c r="X16" i="2" a="1"/>
  <c r="E37" i="2" a="1"/>
  <c r="Q8" i="2" a="1"/>
  <c r="M12" i="2" a="1"/>
  <c r="X11" i="2" a="1"/>
  <c r="W5" i="2" a="1"/>
  <c r="Q37" i="2" a="1"/>
  <c r="T28" i="2" a="1"/>
  <c r="U10" i="2" a="1"/>
  <c r="K3" i="2" a="1"/>
  <c r="Q33" i="2" a="1"/>
  <c r="M18" i="2" a="1"/>
  <c r="S12" i="2" a="1"/>
  <c r="Q42" i="2" a="1"/>
  <c r="H10" i="2" a="1"/>
  <c r="R14" i="2" a="1"/>
  <c r="E28" i="2" a="1"/>
  <c r="U23" i="2" a="1"/>
  <c r="H23" i="2" a="1"/>
  <c r="X35" i="2" a="1"/>
  <c r="J30" i="2" a="1"/>
  <c r="O16" i="2" a="1"/>
  <c r="U30" i="2" a="1"/>
  <c r="U24" i="2" a="1"/>
  <c r="O26" i="2" a="1"/>
  <c r="W38" i="2" a="1"/>
  <c r="K29" i="2" a="1"/>
  <c r="X29" i="2" a="1"/>
  <c r="E12" i="2" a="1"/>
  <c r="T32" i="2" a="1"/>
  <c r="P5" i="2" a="1"/>
  <c r="P18" i="2" a="1"/>
  <c r="X12" i="2" a="1"/>
  <c r="H18" i="2" a="1"/>
  <c r="V16" i="2" a="1"/>
  <c r="G25" i="2" a="1"/>
  <c r="T18" i="2" a="1"/>
  <c r="E20" i="2" a="1"/>
  <c r="J27" i="2" a="1"/>
  <c r="S41" i="2" a="1"/>
  <c r="W9" i="2" a="1"/>
  <c r="J22" i="2" a="1"/>
  <c r="H15" i="2" a="1"/>
  <c r="K23" i="2" a="1"/>
  <c r="M40" i="2" a="1"/>
  <c r="V36" i="2" a="1"/>
  <c r="O41" i="2" a="1"/>
  <c r="Q17" i="2" a="1"/>
  <c r="X37" i="2" a="1"/>
  <c r="K26" i="2" a="1"/>
  <c r="Q15" i="2" a="1"/>
  <c r="N13" i="2" a="1"/>
  <c r="O35" i="2" a="1"/>
  <c r="O25" i="2" a="1"/>
  <c r="R40" i="2" a="1"/>
  <c r="J8" i="2" a="1"/>
  <c r="Y37" i="2" a="1"/>
  <c r="F26" i="2" a="1"/>
  <c r="X9" i="2" a="1"/>
  <c r="N28" i="2" a="1"/>
  <c r="P8" i="2" a="1"/>
  <c r="W32" i="2" a="1"/>
  <c r="N7" i="2" a="1"/>
  <c r="M17" i="2" a="1"/>
  <c r="E15" i="2" a="1"/>
  <c r="J13" i="2" a="1"/>
  <c r="N34" i="2" a="1"/>
  <c r="X8" i="2" a="1"/>
  <c r="K15" i="2" a="1"/>
  <c r="O6" i="2" a="1"/>
  <c r="J5" i="2" a="1"/>
  <c r="W7" i="2" a="1"/>
  <c r="T43" i="2" a="1"/>
  <c r="L17" i="2" a="1"/>
  <c r="L33" i="2" a="1"/>
  <c r="F43" i="2" a="1"/>
  <c r="V39" i="2" a="1"/>
  <c r="U12" i="2" a="1"/>
  <c r="O24" i="2" a="1"/>
  <c r="V5" i="2" a="1"/>
  <c r="V25" i="2" a="1"/>
  <c r="U27" i="2" a="1"/>
  <c r="M19" i="2" a="1"/>
  <c r="L34" i="2" a="1"/>
  <c r="K10" i="2" a="1"/>
  <c r="S26" i="2" a="1"/>
  <c r="R22" i="2" a="1"/>
  <c r="P31" i="2" a="1"/>
  <c r="X26" i="2" a="1"/>
  <c r="P9" i="2" a="1"/>
  <c r="T12" i="2" a="1"/>
  <c r="R26" i="2" a="1"/>
  <c r="G14" i="2" a="1"/>
  <c r="W25" i="2" a="1"/>
  <c r="E10" i="2" a="1"/>
  <c r="U39" i="2" a="1"/>
  <c r="I24" i="2" a="1"/>
  <c r="L39" i="2" a="1"/>
  <c r="P6" i="2" a="1"/>
  <c r="V30" i="2" a="1"/>
  <c r="L29" i="2" a="1"/>
  <c r="I18" i="2" a="1"/>
  <c r="I25" i="2" a="1"/>
  <c r="L12" i="2" a="1"/>
  <c r="Y12" i="2" a="1"/>
  <c r="S6" i="2" a="1"/>
  <c r="G6" i="2" a="1"/>
  <c r="Q30" i="2" a="1"/>
  <c r="N8" i="2" a="1"/>
  <c r="N24" i="2" a="1"/>
  <c r="Y38" i="2" a="1"/>
  <c r="J20" i="2" a="1"/>
  <c r="Y7" i="2" a="1"/>
  <c r="Q34" i="2" a="1"/>
  <c r="N12" i="2" a="1"/>
  <c r="E24" i="2" a="1"/>
  <c r="R10" i="2" a="1"/>
  <c r="I33" i="2" a="1"/>
  <c r="P21" i="2" a="1"/>
  <c r="M20" i="2" a="1"/>
  <c r="X30" i="2" a="1"/>
  <c r="S5" i="2" a="1"/>
  <c r="F41" i="2" a="1"/>
  <c r="Q16" i="2" a="1"/>
  <c r="S8" i="2" a="1"/>
  <c r="N11" i="2" a="1"/>
  <c r="K40" i="2" a="1"/>
  <c r="X10" i="2" a="1"/>
  <c r="G20" i="2" a="1"/>
  <c r="J11" i="2" a="1"/>
  <c r="H30" i="2" a="1"/>
  <c r="S14" i="2" a="1"/>
  <c r="P41" i="2" a="1"/>
  <c r="X13" i="2" a="1"/>
  <c r="V37" i="2" a="1"/>
  <c r="E19" i="2" a="1"/>
  <c r="E39" i="2" a="1"/>
  <c r="F28" i="2" a="1"/>
  <c r="G43" i="2" a="1"/>
  <c r="S34" i="2" a="1"/>
  <c r="U4" i="2" a="1"/>
  <c r="F13" i="2" a="1"/>
  <c r="I4" i="2" a="1"/>
  <c r="H7" i="2" a="1"/>
  <c r="L7" i="2" a="1"/>
  <c r="M30" i="2" a="1"/>
  <c r="O40" i="2" a="1"/>
  <c r="W34" i="2" a="1"/>
  <c r="V24" i="2" a="1"/>
  <c r="I14" i="2" a="1"/>
  <c r="T24" i="2" a="1"/>
  <c r="W22" i="2" a="1"/>
  <c r="F8" i="2" a="1"/>
  <c r="K32" i="2" a="1"/>
  <c r="G28" i="2" a="1"/>
  <c r="Q18" i="2" a="1"/>
  <c r="U31" i="2" a="1"/>
  <c r="F33" i="2" a="1"/>
  <c r="U36" i="2" a="1"/>
  <c r="J42" i="2" a="1"/>
  <c r="S22" i="2" a="1"/>
  <c r="M33" i="2" a="1"/>
  <c r="T9" i="2" a="1"/>
  <c r="H43" i="2" a="1"/>
  <c r="L38" i="2" a="1"/>
  <c r="F23" i="2" a="1"/>
  <c r="P37" i="2" a="1"/>
  <c r="I41" i="2" a="1"/>
  <c r="V33" i="2" a="1"/>
  <c r="X18" i="2" a="1"/>
  <c r="M15" i="2" a="1"/>
  <c r="O33" i="2" a="1"/>
  <c r="E23" i="2" a="1"/>
  <c r="V18" i="2" a="1"/>
  <c r="V23" i="2" a="1"/>
  <c r="X32" i="2" a="1"/>
  <c r="S28" i="2" a="1"/>
  <c r="J9" i="2" a="1"/>
  <c r="S15" i="2" a="1"/>
  <c r="I30" i="2" a="1"/>
  <c r="I26" i="2" a="1"/>
  <c r="V32" i="2" a="1"/>
  <c r="G21" i="2" a="1"/>
  <c r="G26" i="2" a="1"/>
  <c r="W14" i="2" a="1"/>
  <c r="V11" i="2" a="1"/>
  <c r="M43" i="2" a="1"/>
  <c r="G38" i="2" a="1"/>
  <c r="L20" i="2" a="1"/>
  <c r="K9" i="2" a="1"/>
  <c r="W16" i="2" a="1"/>
  <c r="O21" i="2" a="1"/>
  <c r="X38" i="2" a="1"/>
  <c r="W8" i="2" a="1"/>
  <c r="I28" i="2" a="1"/>
  <c r="I28" i="2" l="1"/>
  <c r="W8" i="2"/>
  <c r="X38" i="2"/>
  <c r="O21" i="2"/>
  <c r="W16" i="2"/>
  <c r="K9" i="2"/>
  <c r="L20" i="2"/>
  <c r="G38" i="2"/>
  <c r="M43" i="2"/>
  <c r="V11" i="2"/>
  <c r="W14" i="2"/>
  <c r="G26" i="2"/>
  <c r="G21" i="2"/>
  <c r="V32" i="2"/>
  <c r="I26" i="2"/>
  <c r="I30" i="2"/>
  <c r="S15" i="2"/>
  <c r="J9" i="2"/>
  <c r="S28" i="2"/>
  <c r="X32" i="2"/>
  <c r="V23" i="2"/>
  <c r="V18" i="2"/>
  <c r="E23" i="2"/>
  <c r="O33" i="2"/>
  <c r="M15" i="2"/>
  <c r="X18" i="2"/>
  <c r="V33" i="2"/>
  <c r="I41" i="2"/>
  <c r="P37" i="2"/>
  <c r="F23" i="2"/>
  <c r="L38" i="2"/>
  <c r="H43" i="2"/>
  <c r="T9" i="2"/>
  <c r="M33" i="2"/>
  <c r="S22" i="2"/>
  <c r="J42" i="2"/>
  <c r="U36" i="2"/>
  <c r="F33" i="2"/>
  <c r="U31" i="2"/>
  <c r="Q18" i="2"/>
  <c r="G28" i="2"/>
  <c r="K32" i="2"/>
  <c r="F8" i="2"/>
  <c r="W22" i="2"/>
  <c r="T24" i="2"/>
  <c r="I14" i="2"/>
  <c r="V24" i="2"/>
  <c r="W34" i="2"/>
  <c r="O40" i="2"/>
  <c r="M30" i="2"/>
  <c r="L7" i="2"/>
  <c r="H7" i="2"/>
  <c r="I4" i="2"/>
  <c r="F13" i="2"/>
  <c r="U4" i="2"/>
  <c r="S34" i="2"/>
  <c r="G43" i="2"/>
  <c r="F28" i="2"/>
  <c r="E39" i="2"/>
  <c r="E19" i="2"/>
  <c r="V37" i="2"/>
  <c r="X13" i="2"/>
  <c r="P41" i="2"/>
  <c r="S14" i="2"/>
  <c r="H30" i="2"/>
  <c r="J11" i="2"/>
  <c r="G20" i="2"/>
  <c r="X10" i="2"/>
  <c r="K40" i="2"/>
  <c r="N11" i="2"/>
  <c r="S8" i="2"/>
  <c r="Q16" i="2"/>
  <c r="F41" i="2"/>
  <c r="S5" i="2"/>
  <c r="X30" i="2"/>
  <c r="M20" i="2"/>
  <c r="P21" i="2"/>
  <c r="I33" i="2"/>
  <c r="R10" i="2"/>
  <c r="E24" i="2"/>
  <c r="N12" i="2"/>
  <c r="Q34" i="2"/>
  <c r="Y7" i="2"/>
  <c r="J20" i="2"/>
  <c r="Y38" i="2"/>
  <c r="N24" i="2"/>
  <c r="N8" i="2"/>
  <c r="Q30" i="2"/>
  <c r="G6" i="2"/>
  <c r="S6" i="2"/>
  <c r="Y12" i="2"/>
  <c r="L12" i="2"/>
  <c r="I25" i="2"/>
  <c r="I18" i="2"/>
  <c r="L29" i="2"/>
  <c r="V30" i="2"/>
  <c r="P6" i="2"/>
  <c r="L39" i="2"/>
  <c r="I24" i="2"/>
  <c r="U39" i="2"/>
  <c r="E10" i="2"/>
  <c r="W25" i="2"/>
  <c r="G14" i="2"/>
  <c r="R26" i="2"/>
  <c r="T12" i="2"/>
  <c r="P9" i="2"/>
  <c r="X26" i="2"/>
  <c r="P31" i="2"/>
  <c r="R22" i="2"/>
  <c r="S26" i="2"/>
  <c r="K10" i="2"/>
  <c r="L34" i="2"/>
  <c r="M19" i="2"/>
  <c r="U27" i="2"/>
  <c r="V25" i="2"/>
  <c r="V5" i="2"/>
  <c r="O24" i="2"/>
  <c r="U12" i="2"/>
  <c r="V39" i="2"/>
  <c r="F43" i="2"/>
  <c r="L33" i="2"/>
  <c r="L17" i="2"/>
  <c r="T43" i="2"/>
  <c r="W7" i="2"/>
  <c r="J5" i="2"/>
  <c r="O6" i="2"/>
  <c r="K15" i="2"/>
  <c r="X8" i="2"/>
  <c r="N34" i="2"/>
  <c r="J13" i="2"/>
  <c r="E15" i="2"/>
  <c r="M17" i="2"/>
  <c r="N7" i="2"/>
  <c r="W32" i="2"/>
  <c r="P8" i="2"/>
  <c r="N28" i="2"/>
  <c r="X9" i="2"/>
  <c r="F26" i="2"/>
  <c r="Y37" i="2"/>
  <c r="J8" i="2"/>
  <c r="R40" i="2"/>
  <c r="O25" i="2"/>
  <c r="O35" i="2"/>
  <c r="N13" i="2"/>
  <c r="Q15" i="2"/>
  <c r="K26" i="2"/>
  <c r="X37" i="2"/>
  <c r="Q17" i="2"/>
  <c r="O41" i="2"/>
  <c r="V36" i="2"/>
  <c r="M40" i="2"/>
  <c r="K23" i="2"/>
  <c r="H15" i="2"/>
  <c r="J22" i="2"/>
  <c r="W9" i="2"/>
  <c r="S41" i="2"/>
  <c r="J27" i="2"/>
  <c r="E20" i="2"/>
  <c r="T18" i="2"/>
  <c r="G25" i="2"/>
  <c r="V16" i="2"/>
  <c r="H18" i="2"/>
  <c r="X12" i="2"/>
  <c r="P18" i="2"/>
  <c r="P5" i="2"/>
  <c r="T32" i="2"/>
  <c r="E12" i="2"/>
  <c r="X29" i="2"/>
  <c r="K29" i="2"/>
  <c r="W38" i="2"/>
  <c r="O26" i="2"/>
  <c r="U24" i="2"/>
  <c r="U30" i="2"/>
  <c r="O16" i="2"/>
  <c r="J30" i="2"/>
  <c r="X35" i="2"/>
  <c r="H23" i="2"/>
  <c r="U23" i="2"/>
  <c r="E28" i="2"/>
  <c r="R14" i="2"/>
  <c r="H10" i="2"/>
  <c r="Q42" i="2"/>
  <c r="S12" i="2"/>
  <c r="M18" i="2"/>
  <c r="Q33" i="2"/>
  <c r="K3" i="2"/>
  <c r="U10" i="2"/>
  <c r="T28" i="2"/>
  <c r="Q37" i="2"/>
  <c r="W5" i="2"/>
  <c r="X11" i="2"/>
  <c r="M12" i="2"/>
  <c r="Q8" i="2"/>
  <c r="E37" i="2"/>
  <c r="X16" i="2"/>
  <c r="N36" i="2"/>
  <c r="X21" i="2"/>
  <c r="Q21" i="2"/>
  <c r="Y19" i="2"/>
  <c r="O4" i="2"/>
  <c r="Q27" i="2"/>
  <c r="N20" i="2"/>
  <c r="O42" i="2"/>
  <c r="M32" i="2"/>
  <c r="H21" i="2"/>
  <c r="Y35" i="2"/>
  <c r="T40" i="2"/>
  <c r="X5" i="2"/>
  <c r="N17" i="2"/>
  <c r="I36" i="2"/>
  <c r="H14" i="2"/>
  <c r="Y36" i="2"/>
  <c r="G29" i="2"/>
  <c r="X31" i="2"/>
  <c r="N32" i="2"/>
  <c r="L37" i="2"/>
  <c r="H4" i="2"/>
  <c r="W28" i="2"/>
  <c r="L5" i="2"/>
  <c r="X40" i="2"/>
  <c r="R42" i="2"/>
  <c r="R35" i="2"/>
  <c r="K28" i="2"/>
  <c r="K8" i="2"/>
  <c r="U20" i="2"/>
  <c r="M34" i="2"/>
  <c r="Y28" i="2"/>
  <c r="U15" i="2"/>
  <c r="K41" i="2"/>
  <c r="V43" i="2"/>
  <c r="K11" i="2"/>
  <c r="Q9" i="2"/>
  <c r="G10" i="2"/>
  <c r="J24" i="2"/>
  <c r="U34" i="2"/>
  <c r="G8" i="2"/>
  <c r="Q10" i="2"/>
  <c r="T27" i="2"/>
  <c r="X28" i="2"/>
  <c r="I22" i="2"/>
  <c r="O37" i="2"/>
  <c r="M3" i="2"/>
  <c r="N4" i="2"/>
  <c r="M14" i="2"/>
  <c r="K25" i="2"/>
  <c r="T30" i="2"/>
  <c r="I19" i="2"/>
  <c r="V38" i="2"/>
  <c r="J29" i="2"/>
  <c r="L11" i="2"/>
  <c r="R21" i="2"/>
  <c r="E38" i="2"/>
  <c r="W18" i="2"/>
  <c r="R24" i="2"/>
  <c r="Q29" i="2"/>
  <c r="H38" i="2"/>
  <c r="L15" i="2"/>
  <c r="R41" i="2"/>
  <c r="L32" i="2"/>
  <c r="V17" i="2"/>
  <c r="F32" i="2"/>
  <c r="G33" i="2"/>
  <c r="X36" i="2"/>
  <c r="P34" i="2"/>
  <c r="U5" i="2"/>
  <c r="Q43" i="2"/>
  <c r="X14" i="2"/>
  <c r="J23" i="2"/>
  <c r="Y34" i="2"/>
  <c r="O29" i="2"/>
  <c r="Y22" i="2"/>
  <c r="M27" i="2"/>
  <c r="S35" i="2"/>
  <c r="J34" i="2"/>
  <c r="X6" i="2"/>
  <c r="G5" i="2"/>
  <c r="F21" i="2"/>
  <c r="W29" i="2"/>
  <c r="V6" i="2"/>
  <c r="T38" i="2"/>
  <c r="O31" i="2"/>
  <c r="G13" i="2"/>
  <c r="N37" i="2"/>
  <c r="T11" i="2"/>
  <c r="G42" i="2"/>
  <c r="H17" i="2"/>
  <c r="L22" i="2"/>
  <c r="K5" i="2"/>
  <c r="L25" i="2"/>
  <c r="K43" i="2"/>
  <c r="Y32" i="2"/>
  <c r="S4" i="2"/>
  <c r="N21" i="2"/>
  <c r="P42" i="2"/>
  <c r="I21" i="2"/>
  <c r="F14" i="2"/>
  <c r="Y8" i="2"/>
  <c r="R28" i="2"/>
  <c r="G11" i="2"/>
  <c r="S13" i="2"/>
  <c r="R34" i="2"/>
  <c r="W6" i="2"/>
  <c r="Q35" i="2"/>
  <c r="Q26" i="2"/>
  <c r="Q38" i="2"/>
  <c r="M28" i="2"/>
  <c r="Y5" i="2"/>
  <c r="O39" i="2"/>
  <c r="K27" i="2"/>
  <c r="R31" i="2"/>
  <c r="I16" i="2"/>
  <c r="U40" i="2"/>
  <c r="H20" i="2"/>
  <c r="L16" i="2"/>
  <c r="P32" i="2"/>
  <c r="I38" i="2"/>
  <c r="M37" i="2"/>
  <c r="Y11" i="2"/>
  <c r="L35" i="2"/>
  <c r="P4" i="2"/>
  <c r="H24" i="2"/>
  <c r="R5" i="2"/>
  <c r="W30" i="2"/>
  <c r="R7" i="2"/>
  <c r="T26" i="2"/>
  <c r="T37" i="2"/>
  <c r="O30" i="2"/>
  <c r="P36" i="2"/>
  <c r="H42" i="2"/>
  <c r="G9" i="2"/>
  <c r="O38" i="2"/>
  <c r="N31" i="2"/>
  <c r="G31" i="2"/>
  <c r="H27" i="2"/>
  <c r="N26" i="2"/>
  <c r="L9" i="2"/>
  <c r="S42" i="2"/>
  <c r="O17" i="2"/>
  <c r="G37" i="2"/>
  <c r="S19" i="2"/>
  <c r="N18" i="2"/>
  <c r="J19" i="2"/>
  <c r="P22" i="2"/>
  <c r="O23" i="2"/>
  <c r="N23" i="2"/>
  <c r="G22" i="2"/>
  <c r="M7" i="2"/>
  <c r="F19" i="2"/>
  <c r="Q39" i="2"/>
  <c r="N16" i="2"/>
  <c r="V7" i="2"/>
  <c r="V31" i="2"/>
  <c r="Q22" i="2"/>
  <c r="N30" i="2"/>
  <c r="I10" i="2"/>
  <c r="L23" i="2"/>
  <c r="K34" i="2"/>
  <c r="O7" i="2"/>
  <c r="U28" i="2"/>
  <c r="F22" i="2"/>
  <c r="I5" i="2"/>
  <c r="S18" i="2"/>
  <c r="J35" i="2"/>
  <c r="U26" i="2"/>
  <c r="J25" i="2"/>
  <c r="L8" i="2"/>
  <c r="O20" i="2"/>
  <c r="O27" i="2"/>
  <c r="Q6" i="2"/>
  <c r="P29" i="2"/>
  <c r="X42" i="2"/>
  <c r="K38" i="2"/>
  <c r="Y30" i="2"/>
  <c r="J12" i="2"/>
  <c r="F24" i="2"/>
  <c r="O34" i="2"/>
  <c r="M42" i="2"/>
  <c r="R6" i="2"/>
  <c r="F11" i="2"/>
  <c r="K16" i="2"/>
  <c r="U42" i="2"/>
  <c r="G35" i="2"/>
  <c r="T19" i="2"/>
  <c r="V20" i="2"/>
  <c r="S17" i="2"/>
  <c r="I34" i="2"/>
  <c r="U19" i="2"/>
  <c r="E35" i="2"/>
  <c r="T20" i="2"/>
  <c r="S10" i="2"/>
  <c r="Q36" i="2"/>
  <c r="X25" i="2"/>
  <c r="S30" i="2"/>
  <c r="I12" i="2"/>
  <c r="S43" i="2"/>
  <c r="M21" i="2"/>
  <c r="H32" i="2"/>
  <c r="I20" i="2"/>
  <c r="J21" i="2"/>
  <c r="R38" i="2"/>
  <c r="I9" i="2"/>
  <c r="G30" i="2"/>
  <c r="Q12" i="2"/>
  <c r="K33" i="2"/>
  <c r="P15" i="2"/>
  <c r="O10" i="2"/>
  <c r="S38" i="2"/>
  <c r="I7" i="2"/>
  <c r="M6" i="2"/>
  <c r="V27" i="2"/>
  <c r="N14" i="2"/>
  <c r="U14" i="2"/>
  <c r="Y4" i="2"/>
  <c r="L40" i="2"/>
  <c r="X33" i="2"/>
  <c r="I31" i="2"/>
  <c r="K4" i="2"/>
  <c r="I15" i="2"/>
  <c r="R37" i="2"/>
  <c r="S31" i="2"/>
  <c r="F25" i="2"/>
  <c r="V10" i="2"/>
  <c r="E32" i="2"/>
  <c r="J38" i="2"/>
  <c r="J40" i="2"/>
  <c r="G15" i="2"/>
  <c r="V15" i="2"/>
  <c r="K37" i="2"/>
  <c r="K42" i="2"/>
  <c r="S29" i="2"/>
  <c r="S23" i="2"/>
  <c r="U8" i="2"/>
  <c r="V8" i="2"/>
  <c r="H35" i="2"/>
  <c r="F20" i="2"/>
  <c r="J37" i="2"/>
  <c r="J18" i="2"/>
  <c r="P10" i="2"/>
  <c r="W12" i="2"/>
  <c r="I35" i="2"/>
  <c r="P12" i="2"/>
  <c r="K19" i="2"/>
  <c r="W39" i="2"/>
  <c r="W19" i="2"/>
  <c r="L41" i="2"/>
  <c r="S7" i="2"/>
  <c r="F9" i="2"/>
  <c r="H29" i="2"/>
  <c r="R16" i="2"/>
  <c r="G12" i="2"/>
  <c r="Y20" i="2"/>
  <c r="N40" i="2"/>
  <c r="Y42" i="2"/>
  <c r="X4" i="2"/>
  <c r="W13" i="2"/>
  <c r="E17" i="2"/>
  <c r="W15" i="2"/>
  <c r="Q7" i="2"/>
  <c r="T22" i="2"/>
  <c r="T39" i="2"/>
  <c r="R19" i="2"/>
  <c r="V9" i="2"/>
  <c r="H37" i="2"/>
  <c r="U35" i="2"/>
  <c r="E14" i="2"/>
  <c r="J15" i="2"/>
  <c r="E22" i="2"/>
  <c r="T15" i="2"/>
  <c r="E36" i="2"/>
  <c r="S40" i="2"/>
  <c r="T34" i="2"/>
  <c r="G40" i="2"/>
  <c r="J3" i="2"/>
  <c r="T25" i="2"/>
  <c r="S27" i="2"/>
  <c r="J43" i="2"/>
  <c r="F12" i="2"/>
  <c r="K6" i="2"/>
  <c r="H39" i="2"/>
  <c r="T5" i="2"/>
  <c r="Y15" i="2"/>
  <c r="E42" i="2"/>
  <c r="J17" i="2"/>
  <c r="Q24" i="2"/>
  <c r="F34" i="2"/>
  <c r="X39" i="2"/>
  <c r="E5" i="2"/>
  <c r="V13" i="2"/>
  <c r="E11" i="2"/>
  <c r="Y25" i="2"/>
  <c r="Y31" i="2"/>
  <c r="K39" i="2"/>
  <c r="E13" i="2"/>
  <c r="M24" i="2"/>
  <c r="U32" i="2"/>
  <c r="O36" i="2"/>
  <c r="R4" i="2"/>
  <c r="P43" i="2"/>
  <c r="M10" i="2"/>
  <c r="N22" i="2"/>
  <c r="J4" i="2"/>
  <c r="U21" i="2"/>
  <c r="H28" i="2"/>
  <c r="I39" i="2"/>
  <c r="X27" i="2"/>
  <c r="N42" i="2"/>
  <c r="R29" i="2"/>
  <c r="J14" i="2"/>
  <c r="R25" i="2"/>
  <c r="U9" i="2"/>
  <c r="W26" i="2"/>
  <c r="M31" i="2"/>
  <c r="K35" i="2"/>
  <c r="R13" i="2"/>
  <c r="G18" i="2"/>
  <c r="X7" i="2"/>
  <c r="H16" i="2"/>
  <c r="W31" i="2"/>
  <c r="P20" i="2"/>
  <c r="J6" i="2"/>
  <c r="W24" i="2"/>
  <c r="V14" i="2"/>
  <c r="V35" i="2"/>
  <c r="W21" i="2"/>
  <c r="X24" i="2"/>
  <c r="U18" i="2"/>
  <c r="R18" i="2"/>
  <c r="M41" i="2"/>
  <c r="T10" i="2"/>
  <c r="U43" i="2"/>
  <c r="H40" i="2"/>
  <c r="F7" i="2"/>
  <c r="O43" i="2"/>
  <c r="E21" i="2"/>
  <c r="N38" i="2"/>
  <c r="Y33" i="2"/>
  <c r="K18" i="2"/>
  <c r="T13" i="2"/>
  <c r="L6" i="2"/>
  <c r="H33" i="2"/>
  <c r="R11" i="2"/>
  <c r="I6" i="2"/>
  <c r="S25" i="2"/>
  <c r="U11" i="2"/>
  <c r="H34" i="2"/>
  <c r="I43" i="2"/>
  <c r="E33" i="2"/>
  <c r="T29" i="2"/>
  <c r="F35" i="2"/>
  <c r="F37" i="2"/>
  <c r="L31" i="2"/>
  <c r="T7" i="2"/>
  <c r="R8" i="2"/>
  <c r="J36" i="2"/>
  <c r="Y41" i="2"/>
  <c r="G39" i="2"/>
  <c r="K17" i="2"/>
  <c r="H3" i="2"/>
  <c r="Q23" i="2"/>
  <c r="H31" i="2"/>
  <c r="L43" i="2"/>
  <c r="Q25" i="2"/>
  <c r="H22" i="2"/>
  <c r="T16" i="2"/>
  <c r="U22" i="2"/>
  <c r="M13" i="2"/>
  <c r="S21" i="2"/>
  <c r="V34" i="2"/>
  <c r="I13" i="2"/>
  <c r="T17" i="2"/>
  <c r="E7" i="2"/>
  <c r="K30" i="2"/>
  <c r="N15" i="2"/>
  <c r="Q13" i="2"/>
  <c r="J28" i="2"/>
  <c r="J33" i="2"/>
  <c r="Y29" i="2"/>
  <c r="P16" i="2"/>
  <c r="U33" i="2"/>
  <c r="W40" i="2"/>
  <c r="Q11" i="2"/>
  <c r="R27" i="2"/>
  <c r="G41" i="2"/>
  <c r="W27" i="2"/>
  <c r="M16" i="2"/>
  <c r="F17" i="2"/>
  <c r="O8" i="2"/>
  <c r="E26" i="2"/>
  <c r="P28" i="2"/>
  <c r="X22" i="2"/>
  <c r="M39" i="2"/>
  <c r="Y43" i="2"/>
  <c r="E34" i="2"/>
  <c r="W11" i="2"/>
  <c r="S39" i="2"/>
  <c r="L4" i="2"/>
  <c r="E9" i="2"/>
  <c r="P19" i="2"/>
  <c r="G27" i="2"/>
  <c r="E40" i="2"/>
  <c r="W36" i="2"/>
  <c r="L30" i="2"/>
  <c r="O19" i="2"/>
  <c r="R32" i="2"/>
  <c r="K22" i="2"/>
  <c r="T31" i="2"/>
  <c r="K21" i="2"/>
  <c r="H5" i="2"/>
  <c r="R30" i="2"/>
  <c r="R12" i="2"/>
  <c r="M36" i="2"/>
  <c r="E41" i="2"/>
  <c r="L28" i="2"/>
  <c r="P24" i="2"/>
  <c r="S33" i="2"/>
  <c r="U29" i="2"/>
  <c r="J41" i="2"/>
  <c r="Y16" i="2"/>
  <c r="E25" i="2"/>
  <c r="K14" i="2"/>
  <c r="X43" i="2"/>
  <c r="V42" i="2"/>
  <c r="W43" i="2"/>
  <c r="M22" i="2"/>
  <c r="T23" i="2"/>
  <c r="H11" i="2"/>
  <c r="P40" i="2"/>
  <c r="W17" i="2"/>
  <c r="S11" i="2"/>
  <c r="U6" i="2"/>
  <c r="W33" i="2"/>
  <c r="I42" i="2"/>
  <c r="H9" i="2"/>
  <c r="H13" i="2"/>
  <c r="K12" i="2"/>
  <c r="G24" i="2"/>
  <c r="J32" i="2"/>
  <c r="M8" i="2"/>
  <c r="I32" i="2"/>
  <c r="P33" i="2"/>
  <c r="Y24" i="2"/>
  <c r="O12" i="2"/>
  <c r="R33" i="2"/>
  <c r="N27" i="2"/>
  <c r="G4" i="2"/>
  <c r="L36" i="2"/>
  <c r="V19" i="2"/>
  <c r="T35" i="2"/>
  <c r="P14" i="2"/>
  <c r="E43" i="2"/>
  <c r="T14" i="2"/>
  <c r="O15" i="2"/>
  <c r="R9" i="2"/>
  <c r="F10" i="2"/>
  <c r="P25" i="2"/>
  <c r="H26" i="2"/>
  <c r="Y18" i="2"/>
  <c r="O5" i="2"/>
  <c r="F39" i="2"/>
  <c r="O14" i="2"/>
  <c r="R43" i="2"/>
  <c r="N25" i="2"/>
  <c r="X23" i="2"/>
  <c r="L27" i="2"/>
  <c r="J10" i="2"/>
  <c r="R39" i="2"/>
  <c r="T6" i="2"/>
  <c r="Q20" i="2"/>
  <c r="K7" i="2"/>
  <c r="Y10" i="2"/>
  <c r="M25" i="2"/>
  <c r="Y27" i="2"/>
  <c r="R15" i="2"/>
  <c r="I37" i="2"/>
  <c r="W41" i="2"/>
  <c r="T8" i="2"/>
  <c r="Y26" i="2"/>
  <c r="J16" i="2"/>
  <c r="F38" i="2"/>
  <c r="Q41" i="2"/>
  <c r="F30" i="2"/>
  <c r="O22" i="2"/>
  <c r="Y9" i="2"/>
  <c r="F6" i="2"/>
  <c r="H19" i="2"/>
  <c r="S16" i="2"/>
  <c r="E4" i="2"/>
  <c r="X17" i="2"/>
  <c r="S20" i="2"/>
  <c r="Q31" i="2"/>
  <c r="V26" i="2"/>
  <c r="L18" i="2"/>
  <c r="E27" i="2"/>
  <c r="U16" i="2"/>
  <c r="V12" i="2"/>
  <c r="V28" i="2"/>
  <c r="P7" i="2"/>
  <c r="S36" i="2"/>
  <c r="H41" i="2"/>
  <c r="K24" i="2"/>
  <c r="U13" i="2"/>
  <c r="R36" i="2"/>
  <c r="F15" i="2"/>
  <c r="Y39" i="2"/>
  <c r="S32" i="2"/>
  <c r="G36" i="2"/>
  <c r="F4" i="2"/>
  <c r="V40" i="2"/>
  <c r="W20" i="2"/>
  <c r="E29" i="2"/>
  <c r="U17" i="2"/>
  <c r="M26" i="2"/>
  <c r="F27" i="2"/>
  <c r="N10" i="2"/>
  <c r="H8" i="2"/>
  <c r="R23" i="2"/>
  <c r="O28" i="2"/>
  <c r="Q4" i="2"/>
  <c r="P23" i="2"/>
  <c r="F3" i="2"/>
  <c r="I17" i="2"/>
  <c r="R20" i="2"/>
  <c r="O11" i="2"/>
  <c r="K20" i="2"/>
  <c r="T42" i="2"/>
  <c r="S24" i="2"/>
  <c r="F31" i="2"/>
  <c r="N9" i="2"/>
  <c r="N5" i="2"/>
  <c r="N33" i="2"/>
  <c r="U38" i="2"/>
  <c r="E18" i="2"/>
  <c r="I27" i="2"/>
  <c r="N35" i="2"/>
  <c r="O9" i="2"/>
  <c r="M29" i="2"/>
  <c r="H36" i="2"/>
  <c r="G3" i="2"/>
  <c r="N39" i="2"/>
  <c r="L19" i="2"/>
  <c r="W42" i="2"/>
  <c r="I29" i="2"/>
  <c r="L21" i="2"/>
  <c r="I3" i="2"/>
  <c r="O32" i="2"/>
  <c r="W23" i="2"/>
  <c r="M9" i="2"/>
  <c r="M11" i="2"/>
  <c r="Y14" i="2"/>
  <c r="Q14" i="2"/>
  <c r="E16" i="2"/>
  <c r="N29" i="2"/>
  <c r="P26" i="2"/>
  <c r="U25" i="2"/>
  <c r="E30" i="2"/>
  <c r="X34" i="2"/>
  <c r="I23" i="2"/>
  <c r="J31" i="2"/>
  <c r="G32" i="2"/>
  <c r="Q19" i="2"/>
  <c r="T41" i="2"/>
  <c r="G7" i="2"/>
  <c r="G34" i="2"/>
  <c r="V41" i="2"/>
  <c r="Q28" i="2"/>
  <c r="V22" i="2"/>
  <c r="T4" i="2"/>
  <c r="Q5" i="2"/>
  <c r="O13" i="2"/>
  <c r="M38" i="2"/>
  <c r="Q32" i="2"/>
  <c r="X20" i="2"/>
  <c r="N6" i="2"/>
  <c r="I11" i="2"/>
  <c r="P30" i="2"/>
  <c r="X19" i="2"/>
  <c r="L3" i="2"/>
  <c r="E31" i="2"/>
  <c r="X15" i="2"/>
  <c r="P13" i="2"/>
  <c r="Y23" i="2"/>
  <c r="G16" i="2"/>
  <c r="K31" i="2"/>
  <c r="Y17" i="2"/>
  <c r="K13" i="2"/>
  <c r="L13" i="2"/>
  <c r="L10" i="2"/>
  <c r="N19" i="2"/>
  <c r="T36" i="2"/>
  <c r="H12" i="2"/>
  <c r="L26" i="2"/>
  <c r="H25" i="2"/>
  <c r="P39" i="2"/>
  <c r="J39" i="2"/>
  <c r="E6" i="2"/>
  <c r="Y40" i="2"/>
  <c r="M5" i="2"/>
  <c r="V21" i="2"/>
  <c r="O18" i="2"/>
  <c r="U7" i="2"/>
  <c r="W37" i="2"/>
  <c r="R17" i="2"/>
  <c r="U41" i="2"/>
  <c r="L24" i="2"/>
  <c r="G19" i="2"/>
  <c r="N43" i="2"/>
  <c r="M23" i="2"/>
  <c r="L42" i="2"/>
  <c r="G23" i="2"/>
  <c r="M4" i="2"/>
  <c r="T33" i="2"/>
  <c r="N41" i="2"/>
  <c r="P27" i="2"/>
  <c r="X41" i="2"/>
  <c r="F5" i="2"/>
  <c r="P38" i="2"/>
  <c r="E8" i="2"/>
  <c r="L14" i="2"/>
  <c r="I8" i="2"/>
  <c r="P11" i="2"/>
  <c r="S37" i="2"/>
  <c r="W35" i="2"/>
  <c r="V29" i="2"/>
  <c r="U37" i="2"/>
  <c r="Y21" i="2"/>
  <c r="S9" i="2"/>
  <c r="Y6" i="2"/>
  <c r="T21" i="2"/>
  <c r="M35" i="2"/>
  <c r="F42" i="2"/>
  <c r="J7" i="2"/>
  <c r="I40" i="2"/>
  <c r="P35" i="2"/>
  <c r="P17" i="2"/>
  <c r="G17" i="2"/>
  <c r="F18" i="2"/>
  <c r="Y13" i="2"/>
  <c r="W10" i="2"/>
  <c r="Q40" i="2"/>
  <c r="H6" i="2"/>
  <c r="F36" i="2"/>
  <c r="V4" i="2"/>
  <c r="K36" i="2"/>
  <c r="J26" i="2"/>
  <c r="F16" i="2"/>
  <c r="F29" i="2"/>
  <c r="F40" i="2"/>
  <c r="W4" i="2"/>
  <c r="D35" i="3" l="1"/>
  <c r="F35" i="3"/>
  <c r="K35" i="3"/>
  <c r="N35" i="3"/>
  <c r="L35" i="3"/>
  <c r="M35" i="3"/>
  <c r="E35" i="3"/>
  <c r="C35" i="3"/>
  <c r="P35" i="3" s="1"/>
  <c r="N32" i="3"/>
  <c r="H32" i="3"/>
  <c r="F31" i="3"/>
  <c r="N36" i="3"/>
  <c r="E32" i="3"/>
  <c r="B18" i="3"/>
  <c r="L33" i="3"/>
  <c r="I2" i="3"/>
  <c r="H30" i="3"/>
  <c r="H36" i="3"/>
  <c r="L30" i="3"/>
  <c r="J2" i="3"/>
  <c r="M36" i="3"/>
  <c r="I33" i="3"/>
  <c r="N33" i="3"/>
  <c r="K32" i="3"/>
  <c r="B15" i="3"/>
  <c r="K34" i="3"/>
  <c r="B6" i="3"/>
  <c r="I32" i="3"/>
  <c r="K30" i="3"/>
  <c r="N31" i="3"/>
  <c r="B10" i="3"/>
  <c r="K33" i="3"/>
  <c r="B4" i="3"/>
  <c r="B11" i="3"/>
  <c r="H33" i="3"/>
  <c r="I34" i="3"/>
  <c r="H2" i="3"/>
  <c r="N30" i="3"/>
  <c r="I30" i="3"/>
  <c r="K36" i="3"/>
  <c r="F4" i="3"/>
  <c r="E33" i="3"/>
  <c r="H31" i="3"/>
  <c r="J30" i="3"/>
  <c r="E30" i="3"/>
  <c r="N34" i="3"/>
  <c r="M31" i="3"/>
  <c r="B7" i="3"/>
  <c r="B8" i="3"/>
  <c r="H34" i="3"/>
  <c r="E36" i="3"/>
  <c r="I36" i="3"/>
  <c r="F33" i="3"/>
  <c r="I31" i="3"/>
  <c r="B20" i="3"/>
  <c r="E31" i="3"/>
  <c r="L36" i="3"/>
  <c r="K31" i="3"/>
  <c r="B9" i="3"/>
  <c r="C32" i="3"/>
  <c r="F36" i="3"/>
  <c r="J31" i="3"/>
  <c r="M32" i="3"/>
  <c r="L34" i="3"/>
  <c r="D33" i="3"/>
  <c r="Q33" i="3" s="1"/>
  <c r="J33" i="3"/>
  <c r="M34" i="3"/>
  <c r="G35" i="3"/>
  <c r="C30" i="3"/>
  <c r="F32" i="3"/>
  <c r="D34" i="3"/>
  <c r="Q34" i="3" s="1"/>
  <c r="C36" i="3"/>
  <c r="D30" i="3"/>
  <c r="Q30" i="3" s="1"/>
  <c r="C34" i="3"/>
  <c r="J34" i="3"/>
  <c r="C31" i="3"/>
  <c r="D32" i="3"/>
  <c r="Q32" i="3" s="1"/>
  <c r="F30" i="3"/>
  <c r="G31" i="3"/>
  <c r="J32" i="3"/>
  <c r="M30" i="3"/>
  <c r="L32" i="3"/>
  <c r="G32" i="3"/>
  <c r="F34" i="3"/>
  <c r="C33" i="3"/>
  <c r="E34" i="3"/>
  <c r="G30" i="3"/>
  <c r="L31" i="3"/>
  <c r="D31" i="3"/>
  <c r="Q31" i="3" s="1"/>
  <c r="G33" i="3"/>
  <c r="G36" i="3"/>
  <c r="D36" i="3"/>
  <c r="Q36" i="3" s="1"/>
  <c r="G34" i="3"/>
  <c r="J36" i="3"/>
  <c r="M33" i="3"/>
  <c r="B17" i="3"/>
  <c r="B19" i="3"/>
  <c r="B16" i="3"/>
  <c r="B14" i="3"/>
  <c r="B13" i="3"/>
  <c r="G17" i="3"/>
  <c r="J26" i="3"/>
  <c r="G10" i="3"/>
  <c r="J15" i="3"/>
  <c r="H15" i="3"/>
  <c r="J8" i="3"/>
  <c r="B3" i="3"/>
  <c r="J24" i="3"/>
  <c r="J25" i="3"/>
  <c r="J39" i="3"/>
  <c r="J11" i="3"/>
  <c r="J38" i="3"/>
  <c r="J46" i="3"/>
  <c r="J48" i="3"/>
  <c r="J27" i="3"/>
  <c r="G2" i="3"/>
  <c r="H11" i="3"/>
  <c r="I22" i="3"/>
  <c r="E23" i="3"/>
  <c r="I21" i="3"/>
  <c r="E45" i="3"/>
  <c r="H26" i="3"/>
  <c r="H8" i="3"/>
  <c r="H37" i="3"/>
  <c r="I3" i="3"/>
  <c r="H50" i="3"/>
  <c r="H17" i="3"/>
  <c r="E17" i="3"/>
  <c r="E16" i="3"/>
  <c r="H48" i="3"/>
  <c r="H18" i="3"/>
  <c r="H23" i="3"/>
  <c r="H38" i="3"/>
  <c r="I27" i="3"/>
  <c r="N8" i="3"/>
  <c r="E8" i="3"/>
  <c r="E7" i="3"/>
  <c r="E46" i="3"/>
  <c r="H21" i="3"/>
  <c r="E3" i="3"/>
  <c r="E42" i="3"/>
  <c r="H28" i="3"/>
  <c r="D7" i="3"/>
  <c r="E47" i="3"/>
  <c r="H24" i="3"/>
  <c r="E9" i="3"/>
  <c r="E39" i="3"/>
  <c r="H29" i="3"/>
  <c r="E37" i="3"/>
  <c r="E50" i="3"/>
  <c r="E22" i="3"/>
  <c r="E24" i="3"/>
  <c r="E48" i="3"/>
  <c r="H46" i="3"/>
  <c r="D43" i="3"/>
  <c r="Q43" i="3" s="1"/>
  <c r="D22" i="3"/>
  <c r="Q22" i="3" s="1"/>
  <c r="N47" i="3"/>
  <c r="N42" i="3"/>
  <c r="N25" i="3"/>
  <c r="E51" i="3"/>
  <c r="H5" i="3"/>
  <c r="H43" i="3"/>
  <c r="N46" i="3"/>
  <c r="N4" i="3"/>
  <c r="N10" i="3"/>
  <c r="N44" i="3"/>
  <c r="D24" i="3"/>
  <c r="Q24" i="3" s="1"/>
  <c r="D12" i="3"/>
  <c r="N41" i="3"/>
  <c r="N26" i="3"/>
  <c r="N15" i="3"/>
  <c r="N40" i="3"/>
  <c r="N48" i="3"/>
  <c r="N11" i="3"/>
  <c r="E26" i="3"/>
  <c r="N37" i="3"/>
  <c r="H7" i="3"/>
  <c r="E41" i="3"/>
  <c r="N18" i="3"/>
  <c r="J17" i="3"/>
  <c r="H4" i="3"/>
  <c r="N28" i="3"/>
  <c r="N39" i="3"/>
  <c r="N7" i="3"/>
  <c r="C5" i="3"/>
  <c r="K20" i="3"/>
  <c r="D40" i="3"/>
  <c r="Q40" i="3" s="1"/>
  <c r="D44" i="3"/>
  <c r="Q44" i="3" s="1"/>
  <c r="N24" i="3"/>
  <c r="H41" i="3"/>
  <c r="I38" i="3"/>
  <c r="N9" i="3"/>
  <c r="H10" i="3"/>
  <c r="H9" i="3"/>
  <c r="D45" i="3"/>
  <c r="Q45" i="3" s="1"/>
  <c r="E38" i="3"/>
  <c r="N27" i="3"/>
  <c r="H20" i="3"/>
  <c r="H35" i="3"/>
  <c r="E11" i="3"/>
  <c r="D6" i="3"/>
  <c r="D41" i="3"/>
  <c r="Q41" i="3" s="1"/>
  <c r="D38" i="3"/>
  <c r="Q38" i="3" s="1"/>
  <c r="N23" i="3"/>
  <c r="D15" i="3"/>
  <c r="H6" i="3"/>
  <c r="E18" i="3"/>
  <c r="N29" i="3"/>
  <c r="D50" i="3"/>
  <c r="Q50" i="3" s="1"/>
  <c r="H40" i="3"/>
  <c r="D46" i="3"/>
  <c r="Q46" i="3" s="1"/>
  <c r="I40" i="3"/>
  <c r="D48" i="3"/>
  <c r="Q48" i="3" s="1"/>
  <c r="D20" i="3"/>
  <c r="E20" i="3"/>
  <c r="I43" i="3"/>
  <c r="E43" i="3"/>
  <c r="E19" i="3"/>
  <c r="N43" i="3"/>
  <c r="H19" i="3"/>
  <c r="D21" i="3"/>
  <c r="Q21" i="3" s="1"/>
  <c r="H16" i="3"/>
  <c r="H42" i="3"/>
  <c r="D29" i="3"/>
  <c r="Q29" i="3" s="1"/>
  <c r="N38" i="3"/>
  <c r="H12" i="3"/>
  <c r="H27" i="3"/>
  <c r="F11" i="3"/>
  <c r="J7" i="3"/>
  <c r="D23" i="3"/>
  <c r="Q23" i="3" s="1"/>
  <c r="E4" i="3"/>
  <c r="N17" i="3"/>
  <c r="L20" i="3"/>
  <c r="L27" i="3"/>
  <c r="G9" i="3"/>
  <c r="L15" i="3"/>
  <c r="L11" i="3"/>
  <c r="L6" i="3"/>
  <c r="G43" i="3"/>
  <c r="G46" i="3"/>
  <c r="M8" i="3"/>
  <c r="E29" i="3"/>
  <c r="E49" i="3"/>
  <c r="N49" i="3"/>
  <c r="H22" i="3"/>
  <c r="J29" i="3"/>
  <c r="J14" i="3"/>
  <c r="G3" i="3"/>
  <c r="G44" i="3"/>
  <c r="E27" i="3"/>
  <c r="J16" i="3"/>
  <c r="D27" i="3"/>
  <c r="Q27" i="3" s="1"/>
  <c r="E21" i="3"/>
  <c r="N45" i="3"/>
  <c r="H39" i="3"/>
  <c r="N12" i="3"/>
  <c r="D39" i="3"/>
  <c r="Q39" i="3" s="1"/>
  <c r="E28" i="3"/>
  <c r="E25" i="3"/>
  <c r="N50" i="3"/>
  <c r="H44" i="3"/>
  <c r="D5" i="3"/>
  <c r="M14" i="3"/>
  <c r="K25" i="3"/>
  <c r="L13" i="3"/>
  <c r="L22" i="3"/>
  <c r="K5" i="3"/>
  <c r="F20" i="3"/>
  <c r="F14" i="3"/>
  <c r="L40" i="3"/>
  <c r="K10" i="3"/>
  <c r="L4" i="3"/>
  <c r="K6" i="3"/>
  <c r="D4" i="3"/>
  <c r="F39" i="3"/>
  <c r="G26" i="3"/>
  <c r="L49" i="3"/>
  <c r="G48" i="3"/>
  <c r="G13" i="3"/>
  <c r="F43" i="3"/>
  <c r="L47" i="3"/>
  <c r="M23" i="3"/>
  <c r="G7" i="3"/>
  <c r="M4" i="3"/>
  <c r="M26" i="3"/>
  <c r="D17" i="3"/>
  <c r="M15" i="3"/>
  <c r="N6" i="3"/>
  <c r="M10" i="3"/>
  <c r="K11" i="3"/>
  <c r="K15" i="3"/>
  <c r="L37" i="3"/>
  <c r="M45" i="3"/>
  <c r="G8" i="3"/>
  <c r="M6" i="3"/>
  <c r="K21" i="3"/>
  <c r="L26" i="3"/>
  <c r="M17" i="3"/>
  <c r="F13" i="3"/>
  <c r="L12" i="3"/>
  <c r="K49" i="3"/>
  <c r="G22" i="3"/>
  <c r="K18" i="3"/>
  <c r="L50" i="3"/>
  <c r="G11" i="3"/>
  <c r="G5" i="3"/>
  <c r="M7" i="3"/>
  <c r="L44" i="3"/>
  <c r="K28" i="3"/>
  <c r="K14" i="3"/>
  <c r="G29" i="3"/>
  <c r="K50" i="3"/>
  <c r="L17" i="3"/>
  <c r="L18" i="3"/>
  <c r="G16" i="3"/>
  <c r="K12" i="3"/>
  <c r="D10" i="3"/>
  <c r="F10" i="3"/>
  <c r="D9" i="3"/>
  <c r="E15" i="3"/>
  <c r="K7" i="3"/>
  <c r="F7" i="3"/>
  <c r="G18" i="3"/>
  <c r="L42" i="3"/>
  <c r="M9" i="3"/>
  <c r="F9" i="3"/>
  <c r="L21" i="3"/>
  <c r="G49" i="3"/>
  <c r="L38" i="3"/>
  <c r="D8" i="3"/>
  <c r="E10" i="3"/>
  <c r="F8" i="3"/>
  <c r="F15" i="3"/>
  <c r="F6" i="3"/>
  <c r="H3" i="3"/>
  <c r="K9" i="3"/>
  <c r="L45" i="3"/>
  <c r="K26" i="3"/>
  <c r="K17" i="3"/>
  <c r="D47" i="3"/>
  <c r="Q47" i="3" s="1"/>
  <c r="G19" i="3"/>
  <c r="K39" i="3"/>
  <c r="D37" i="3"/>
  <c r="Q37" i="3" s="1"/>
  <c r="N19" i="3"/>
  <c r="N22" i="3"/>
  <c r="L28" i="3"/>
  <c r="H14" i="3"/>
  <c r="F12" i="3"/>
  <c r="G15" i="3"/>
  <c r="K19" i="3"/>
  <c r="L8" i="3"/>
  <c r="K8" i="3"/>
  <c r="G39" i="3"/>
  <c r="L19" i="3"/>
  <c r="L7" i="3"/>
  <c r="L9" i="3"/>
  <c r="K38" i="3"/>
  <c r="D18" i="3"/>
  <c r="G25" i="3"/>
  <c r="L48" i="3"/>
  <c r="L39" i="3"/>
  <c r="K24" i="3"/>
  <c r="L24" i="3"/>
  <c r="K37" i="3"/>
  <c r="F16" i="3"/>
  <c r="G40" i="3"/>
  <c r="K44" i="3"/>
  <c r="F29" i="3"/>
  <c r="D26" i="3"/>
  <c r="Q26" i="3" s="1"/>
  <c r="D19" i="3"/>
  <c r="F22" i="3"/>
  <c r="L29" i="3"/>
  <c r="K4" i="3"/>
  <c r="G28" i="3"/>
  <c r="D25" i="3"/>
  <c r="Q25" i="3" s="1"/>
  <c r="L46" i="3"/>
  <c r="E6" i="3"/>
  <c r="G45" i="3"/>
  <c r="M11" i="3"/>
  <c r="L25" i="3"/>
  <c r="G24" i="3"/>
  <c r="K42" i="3"/>
  <c r="L43" i="3"/>
  <c r="D11" i="3"/>
  <c r="G42" i="3"/>
  <c r="D3" i="3"/>
  <c r="D42" i="3"/>
  <c r="Q42" i="3" s="1"/>
  <c r="E40" i="3"/>
  <c r="N21" i="3"/>
  <c r="F37" i="3"/>
  <c r="H25" i="3"/>
  <c r="M12" i="3"/>
  <c r="M16" i="3"/>
  <c r="G41" i="3"/>
  <c r="D28" i="3"/>
  <c r="Q28" i="3" s="1"/>
  <c r="D49" i="3"/>
  <c r="Q49" i="3" s="1"/>
  <c r="E44" i="3"/>
  <c r="N20" i="3"/>
  <c r="F17" i="3"/>
  <c r="H45" i="3"/>
  <c r="L41" i="3"/>
  <c r="G4" i="3"/>
  <c r="L10" i="3"/>
  <c r="C16" i="3"/>
  <c r="J42" i="3"/>
  <c r="I25" i="3"/>
  <c r="I42" i="3"/>
  <c r="I15" i="3"/>
  <c r="J20" i="3"/>
  <c r="J28" i="3"/>
  <c r="I45" i="3"/>
  <c r="J10" i="3"/>
  <c r="J9" i="3"/>
  <c r="I6" i="3"/>
  <c r="J47" i="3"/>
  <c r="I19" i="3"/>
  <c r="C3" i="3"/>
  <c r="J6" i="3"/>
  <c r="C48" i="3"/>
  <c r="G23" i="3"/>
  <c r="H47" i="3"/>
  <c r="H49" i="3"/>
  <c r="J44" i="3"/>
  <c r="I20" i="3"/>
  <c r="G14" i="3"/>
  <c r="I11" i="3"/>
  <c r="C9" i="3"/>
  <c r="C14" i="3"/>
  <c r="I16" i="3"/>
  <c r="J37" i="3"/>
  <c r="I39" i="3"/>
  <c r="J13" i="3"/>
  <c r="G6" i="3"/>
  <c r="C44" i="3"/>
  <c r="I26" i="3"/>
  <c r="C4" i="3"/>
  <c r="I24" i="3"/>
  <c r="J18" i="3"/>
  <c r="I23" i="3"/>
  <c r="C8" i="3"/>
  <c r="P8" i="3" s="1"/>
  <c r="G38" i="3"/>
  <c r="I7" i="3"/>
  <c r="J45" i="3"/>
  <c r="J43" i="3"/>
  <c r="I49" i="3"/>
  <c r="J4" i="3"/>
  <c r="C7" i="3"/>
  <c r="I10" i="3"/>
  <c r="C27" i="3"/>
  <c r="J19" i="3"/>
  <c r="I50" i="3"/>
  <c r="I9" i="3"/>
  <c r="I28" i="3"/>
  <c r="J21" i="3"/>
  <c r="I46" i="3"/>
  <c r="C29" i="3"/>
  <c r="C47" i="3"/>
  <c r="C21" i="3"/>
  <c r="I4" i="3"/>
  <c r="C42" i="3"/>
  <c r="C17" i="3"/>
  <c r="C13" i="3"/>
  <c r="I41" i="3"/>
  <c r="I18" i="3"/>
  <c r="C10" i="3"/>
  <c r="C43" i="3"/>
  <c r="I8" i="3"/>
  <c r="I13" i="3"/>
  <c r="C6" i="3"/>
  <c r="C50" i="3"/>
  <c r="C15" i="3"/>
  <c r="C40" i="3"/>
  <c r="J49" i="3"/>
  <c r="C22" i="3"/>
  <c r="J22" i="3"/>
  <c r="C37" i="3"/>
  <c r="J41" i="3"/>
  <c r="I29" i="3"/>
  <c r="C11" i="3"/>
  <c r="I37" i="3"/>
  <c r="I17" i="3"/>
  <c r="J50" i="3"/>
  <c r="I47" i="3"/>
  <c r="C20" i="3"/>
  <c r="J23" i="3"/>
  <c r="J40" i="3"/>
  <c r="I44" i="3"/>
  <c r="I48" i="3"/>
  <c r="J3" i="3"/>
  <c r="F49" i="3"/>
  <c r="M3" i="3"/>
  <c r="C2" i="3"/>
  <c r="J35" i="3"/>
  <c r="B5" i="3"/>
  <c r="B12" i="3"/>
  <c r="C28" i="3"/>
  <c r="C19" i="3"/>
  <c r="G20" i="3"/>
  <c r="G27" i="3"/>
  <c r="K40" i="3"/>
  <c r="C26" i="3"/>
  <c r="C18" i="3"/>
  <c r="F5" i="3"/>
  <c r="K43" i="3"/>
  <c r="F50" i="3"/>
  <c r="D14" i="3"/>
  <c r="M41" i="3"/>
  <c r="K13" i="3"/>
  <c r="F21" i="3"/>
  <c r="F41" i="3"/>
  <c r="M39" i="3"/>
  <c r="I14" i="3"/>
  <c r="G21" i="3"/>
  <c r="K46" i="3"/>
  <c r="C41" i="3"/>
  <c r="C46" i="3"/>
  <c r="G50" i="3"/>
  <c r="K41" i="3"/>
  <c r="K45" i="3"/>
  <c r="M5" i="3"/>
  <c r="F44" i="3"/>
  <c r="K16" i="3"/>
  <c r="L23" i="3"/>
  <c r="M25" i="3"/>
  <c r="L5" i="3"/>
  <c r="K3" i="3"/>
  <c r="N3" i="3"/>
  <c r="M44" i="3"/>
  <c r="F38" i="3"/>
  <c r="C38" i="3"/>
  <c r="F48" i="3"/>
  <c r="L14" i="3"/>
  <c r="M18" i="3"/>
  <c r="C39" i="3"/>
  <c r="C23" i="3"/>
  <c r="G37" i="3"/>
  <c r="K48" i="3"/>
  <c r="K29" i="3"/>
  <c r="F24" i="3"/>
  <c r="M50" i="3"/>
  <c r="N5" i="3"/>
  <c r="F28" i="3"/>
  <c r="C45" i="3"/>
  <c r="I12" i="3"/>
  <c r="C25" i="3"/>
  <c r="K22" i="3"/>
  <c r="C24" i="3"/>
  <c r="L16" i="3"/>
  <c r="G47" i="3"/>
  <c r="K47" i="3"/>
  <c r="K27" i="3"/>
  <c r="F25" i="3"/>
  <c r="M43" i="3"/>
  <c r="F18" i="3"/>
  <c r="C49" i="3"/>
  <c r="E14" i="3"/>
  <c r="M49" i="3"/>
  <c r="K23" i="3"/>
  <c r="M29" i="3"/>
  <c r="E13" i="3"/>
  <c r="I35" i="3"/>
  <c r="M27" i="3"/>
  <c r="M20" i="3"/>
  <c r="F3" i="3"/>
  <c r="H13" i="3"/>
  <c r="F46" i="3"/>
  <c r="E5" i="3"/>
  <c r="M38" i="3"/>
  <c r="M19" i="3"/>
  <c r="F19" i="3"/>
  <c r="M28" i="3"/>
  <c r="M22" i="3"/>
  <c r="E12" i="3"/>
  <c r="F40" i="3"/>
  <c r="M37" i="3"/>
  <c r="M42" i="3"/>
  <c r="F23" i="3"/>
  <c r="M40" i="3"/>
  <c r="F42" i="3"/>
  <c r="F26" i="3"/>
  <c r="D13" i="3"/>
  <c r="M24" i="3"/>
  <c r="G12" i="3"/>
  <c r="C12" i="3"/>
  <c r="D16" i="3"/>
  <c r="N16" i="3"/>
  <c r="F45" i="3"/>
  <c r="M46" i="3"/>
  <c r="M21" i="3"/>
  <c r="J5" i="3"/>
  <c r="F27" i="3"/>
  <c r="M48" i="3"/>
  <c r="J12" i="3"/>
  <c r="F47" i="3"/>
  <c r="N13" i="3"/>
  <c r="M47" i="3"/>
  <c r="N14" i="3"/>
  <c r="M13" i="3"/>
  <c r="L3" i="3"/>
  <c r="I5" i="3"/>
  <c r="P19" i="3" l="1"/>
  <c r="O28" i="3"/>
  <c r="P28" i="3"/>
  <c r="O41" i="3"/>
  <c r="P41" i="3"/>
  <c r="O40" i="3"/>
  <c r="P40" i="3"/>
  <c r="O36" i="3"/>
  <c r="P36" i="3"/>
  <c r="P15" i="3"/>
  <c r="O38" i="3"/>
  <c r="P38" i="3"/>
  <c r="O50" i="3"/>
  <c r="P50" i="3"/>
  <c r="P6" i="3"/>
  <c r="O27" i="3"/>
  <c r="P27" i="3"/>
  <c r="O30" i="3"/>
  <c r="P30" i="3"/>
  <c r="P14" i="3"/>
  <c r="O24" i="3"/>
  <c r="P24" i="3"/>
  <c r="P7" i="3"/>
  <c r="P9" i="3"/>
  <c r="O43" i="3"/>
  <c r="P43" i="3"/>
  <c r="O32" i="3"/>
  <c r="P32" i="3"/>
  <c r="O48" i="3"/>
  <c r="P48" i="3"/>
  <c r="O47" i="3"/>
  <c r="P47" i="3"/>
  <c r="O46" i="3"/>
  <c r="P46" i="3"/>
  <c r="O29" i="3"/>
  <c r="P29" i="3"/>
  <c r="O31" i="3"/>
  <c r="P31" i="3"/>
  <c r="P11" i="3"/>
  <c r="P4" i="3"/>
  <c r="O49" i="3"/>
  <c r="P49" i="3"/>
  <c r="O42" i="3"/>
  <c r="P42" i="3"/>
  <c r="O21" i="3"/>
  <c r="P21" i="3"/>
  <c r="P3" i="3"/>
  <c r="O37" i="3"/>
  <c r="P37" i="3"/>
  <c r="O23" i="3"/>
  <c r="P23" i="3"/>
  <c r="O39" i="3"/>
  <c r="P39" i="3"/>
  <c r="O22" i="3"/>
  <c r="P22" i="3"/>
  <c r="O44" i="3"/>
  <c r="P44" i="3"/>
  <c r="O34" i="3"/>
  <c r="P34" i="3"/>
  <c r="O25" i="3"/>
  <c r="P25" i="3"/>
  <c r="P10" i="3"/>
  <c r="P5" i="3"/>
  <c r="O33" i="3"/>
  <c r="P33" i="3"/>
  <c r="P12" i="3"/>
  <c r="P20" i="3"/>
  <c r="P16" i="3"/>
  <c r="O45" i="3"/>
  <c r="P45" i="3"/>
  <c r="P18" i="3"/>
  <c r="P13" i="3"/>
  <c r="O26" i="3"/>
  <c r="P26" i="3"/>
  <c r="P17" i="3"/>
  <c r="P2" i="3"/>
  <c r="Q35" i="3"/>
  <c r="Q20" i="3"/>
  <c r="O20" i="3"/>
  <c r="Q19" i="3"/>
  <c r="O19" i="3"/>
  <c r="O18" i="3"/>
  <c r="Q18" i="3"/>
  <c r="Q17" i="3"/>
  <c r="O17" i="3"/>
  <c r="O15" i="3"/>
  <c r="Q14" i="3"/>
  <c r="Q15" i="3"/>
  <c r="Q13" i="3"/>
  <c r="O4" i="3"/>
  <c r="O11" i="3"/>
  <c r="Q11" i="3"/>
  <c r="Q10" i="3"/>
  <c r="O10" i="3"/>
  <c r="O9" i="3"/>
  <c r="Q9" i="3"/>
  <c r="Q8" i="3"/>
  <c r="O8" i="3"/>
  <c r="O7" i="3"/>
  <c r="Q7" i="3"/>
  <c r="O6" i="3"/>
  <c r="Q6" i="3"/>
  <c r="Q4" i="3"/>
  <c r="Q2" i="3"/>
  <c r="Q3" i="3"/>
  <c r="O35" i="3"/>
  <c r="O16" i="3"/>
  <c r="O3" i="3"/>
  <c r="Q5" i="3"/>
  <c r="O2" i="3"/>
  <c r="O14" i="3"/>
  <c r="O13" i="3"/>
  <c r="O12" i="3"/>
  <c r="Q16" i="3"/>
  <c r="O5" i="3"/>
  <c r="Q1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<sst xmlns="http://schemas.openxmlformats.org/spreadsheetml/2006/main" count="154" uniqueCount="100">
  <si>
    <t>CR#</t>
  </si>
  <si>
    <t>CR_Short_Desc</t>
  </si>
  <si>
    <t>CR_End_date</t>
  </si>
  <si>
    <t>Account</t>
  </si>
  <si>
    <t>CR Basic Info</t>
  </si>
  <si>
    <t>chg_assignment_group</t>
  </si>
  <si>
    <t>chg_assigned_to</t>
  </si>
  <si>
    <t>System info</t>
  </si>
  <si>
    <t>Platform_Type</t>
  </si>
  <si>
    <t>Solution_type</t>
  </si>
  <si>
    <t>Siteid</t>
  </si>
  <si>
    <t>MHM Details</t>
  </si>
  <si>
    <t>Est_Total</t>
  </si>
  <si>
    <t>Act_redist_offline</t>
  </si>
  <si>
    <t>Act_redist_online</t>
  </si>
  <si>
    <t>Est_redisct</t>
  </si>
  <si>
    <t>Est_del</t>
  </si>
  <si>
    <t>Act_del</t>
  </si>
  <si>
    <t>Act_Total</t>
  </si>
  <si>
    <t>Node#_cur</t>
  </si>
  <si>
    <t>AMP#_cur</t>
  </si>
  <si>
    <t>Node#_new</t>
  </si>
  <si>
    <t>AMP#_new</t>
  </si>
  <si>
    <t>DB_ver</t>
  </si>
  <si>
    <t>DB_Size(TB)</t>
  </si>
  <si>
    <t xml:space="preserve">avg_throughput </t>
  </si>
  <si>
    <t xml:space="preserve">max_throughput </t>
  </si>
  <si>
    <t xml:space="preserve">min_throughput </t>
  </si>
  <si>
    <t>Data demographics</t>
  </si>
  <si>
    <t>Empty_tbl#</t>
  </si>
  <si>
    <t>S_tbl#</t>
  </si>
  <si>
    <t>M_tbl#</t>
  </si>
  <si>
    <t>L_tbl#</t>
  </si>
  <si>
    <t>CHG0246640</t>
  </si>
  <si>
    <t>ALRAJHI04</t>
  </si>
  <si>
    <t>17.20.03.30</t>
  </si>
  <si>
    <t>Uncmpressed Size</t>
  </si>
  <si>
    <t>Compression Ratio</t>
  </si>
  <si>
    <t>TB_tbl#</t>
  </si>
  <si>
    <t>GB_tbl#</t>
  </si>
  <si>
    <t>MB_tbl#</t>
  </si>
  <si>
    <t>Total tbls</t>
  </si>
  <si>
    <t>CHG0219040</t>
  </si>
  <si>
    <t>17.20.03.33</t>
  </si>
  <si>
    <t>BANGLALINKIFX</t>
  </si>
  <si>
    <t>UNICREDA</t>
  </si>
  <si>
    <t>CHG0239574</t>
  </si>
  <si>
    <t>17.20.03.35</t>
  </si>
  <si>
    <t>PTMLIFX</t>
  </si>
  <si>
    <t>CHG0235347</t>
  </si>
  <si>
    <t>CHG0212746</t>
  </si>
  <si>
    <t>MOBILY02</t>
  </si>
  <si>
    <t>16.20.53.57</t>
  </si>
  <si>
    <t>CHG0195590</t>
  </si>
  <si>
    <t>STDSTP05</t>
  </si>
  <si>
    <t>TDICAMTSBKPRD05</t>
  </si>
  <si>
    <t>CHG0251187</t>
  </si>
  <si>
    <t>20.00.24.55</t>
  </si>
  <si>
    <t>IFX_2.1</t>
  </si>
  <si>
    <t>IFX_2.1.1</t>
  </si>
  <si>
    <t>IFX_2.5</t>
  </si>
  <si>
    <t>Amazon_Cloud</t>
  </si>
  <si>
    <t>Avg_throughput_compressed</t>
  </si>
  <si>
    <t>Avg_throughput_uncompressed</t>
  </si>
  <si>
    <t>BNPP-NO-CR</t>
  </si>
  <si>
    <t>BNPP25</t>
  </si>
  <si>
    <t>17.10.03.19</t>
  </si>
  <si>
    <t>fnb01-nocr</t>
  </si>
  <si>
    <t>FNB01</t>
  </si>
  <si>
    <t>17.10.03.25</t>
  </si>
  <si>
    <t>FNB02-nocr</t>
  </si>
  <si>
    <t>FNB02</t>
  </si>
  <si>
    <t>CHBIT07-nocr</t>
  </si>
  <si>
    <t>CHBIT07</t>
  </si>
  <si>
    <t>17.10.03.18</t>
  </si>
  <si>
    <t>CHBIT08-nocr</t>
  </si>
  <si>
    <t>CHBIT08</t>
  </si>
  <si>
    <t>Audi-2023</t>
  </si>
  <si>
    <t>AUDIHAAPDWH3</t>
  </si>
  <si>
    <t>17.10.03.17</t>
  </si>
  <si>
    <t>CHG0230659</t>
  </si>
  <si>
    <t>17.10.03.20</t>
  </si>
  <si>
    <t>EGTEL-nocr</t>
  </si>
  <si>
    <t>EGTELECOMVNT</t>
  </si>
  <si>
    <t>16.20.53.50</t>
  </si>
  <si>
    <t>17.05.05.25</t>
  </si>
  <si>
    <t>Act_Total (Hrs)</t>
  </si>
  <si>
    <t>Total_tbls</t>
  </si>
  <si>
    <t>Uncompressed_Size(TB)</t>
  </si>
  <si>
    <t>Compression_Ratio</t>
  </si>
  <si>
    <t>Gemini Est.(Hrs)</t>
  </si>
  <si>
    <t>CHG0249895</t>
  </si>
  <si>
    <t>CHG0184271</t>
  </si>
  <si>
    <t>SBPDRIFX</t>
  </si>
  <si>
    <t>17.10.03.31</t>
  </si>
  <si>
    <t>CHG0234888</t>
  </si>
  <si>
    <t>STC04</t>
  </si>
  <si>
    <t>16.20.53.39</t>
  </si>
  <si>
    <t>Copilot Est.(Hrs)#2</t>
  </si>
  <si>
    <t>Copilot Est.(Hrs)#1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</si>
</sst>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Aptos"/>
      <family val="2"/>
    </font>
    <font>
      <sz val="12"/>
      <color theme="1"/>
      <name val="Consolas"/>
      <family val="3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E73994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2" borderId="1" xfId="0" applyFont="1" applyFill="1" applyBorder="1"/>
    <xf numFmtId="0" fontId="1" fillId="3" borderId="1" xfId="0" applyFont="1" applyFill="1" applyBorder="1"/>
    <xf numFmtId="0" fontId="1" fillId="4" borderId="1" xfId="0" applyFont="1" applyFill="1" applyBorder="1"/>
    <xf numFmtId="0" fontId="0" fillId="0" borderId="0" xfId="0" applyAlignment="1">
      <alignment vertical="center"/>
    </xf>
    <xf numFmtId="0" fontId="1" fillId="2" borderId="1" xfId="0" applyFont="1" applyFill="1" applyBorder="1" applyAlignment="1">
      <alignment vertical="center"/>
    </xf>
    <xf numFmtId="0" fontId="1" fillId="6" borderId="1" xfId="0" applyFont="1" applyFill="1" applyBorder="1"/>
    <xf numFmtId="0" fontId="0" fillId="0" borderId="0" xfId="0" applyAlignment="1">
      <alignment horizontal="left" vertical="center"/>
    </xf>
    <xf numFmtId="14" fontId="0" fillId="0" borderId="0" xfId="0" applyNumberForma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0" fillId="0" borderId="0" xfId="0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0" fillId="0" borderId="0" xfId="0" applyAlignment="1">
      <alignment horizontal="right"/>
    </xf>
    <xf numFmtId="2" fontId="0" fillId="0" borderId="0" xfId="0" applyNumberFormat="1" applyAlignment="1">
      <alignment horizontal="right"/>
    </xf>
    <xf numFmtId="0" fontId="1" fillId="5" borderId="1" xfId="0" applyFont="1" applyFill="1" applyBorder="1"/>
    <xf numFmtId="0" fontId="1" fillId="7" borderId="0" xfId="0" applyFont="1" applyFill="1"/>
    <xf numFmtId="0" fontId="2" fillId="3" borderId="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1" fillId="4" borderId="0" xfId="0" applyFont="1" applyFill="1" applyAlignment="1">
      <alignment horizontal="center"/>
    </xf>
    <xf numFmtId="0" fontId="0" fillId="0" borderId="3" xfId="0" applyBorder="1" applyAlignment="1">
      <alignment horizontal="center"/>
    </xf>
    <xf numFmtId="0" fontId="1" fillId="5" borderId="0" xfId="0" applyFont="1" applyFill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7399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129540</xdr:colOff>
          <xdr:row>0</xdr:row>
          <xdr:rowOff>342900</xdr:rowOff>
        </xdr:from>
        <xdr:to>
          <xdr:col>18</xdr:col>
          <xdr:colOff>628650</xdr:colOff>
          <xdr:row>2</xdr:row>
          <xdr:rowOff>144780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17</xdr:col>
      <xdr:colOff>148590</xdr:colOff>
      <xdr:row>2</xdr:row>
      <xdr:rowOff>174307</xdr:rowOff>
    </xdr:from>
    <xdr:to>
      <xdr:col>18</xdr:col>
      <xdr:colOff>624840</xdr:colOff>
      <xdr:row>7</xdr:row>
      <xdr:rowOff>15240</xdr:rowOff>
    </xdr:to>
    <xdr:pic macro="[0]!ImportData4ExcelOut">
      <xdr:nvPicPr>
        <xdr:cNvPr id="6" name="Picture 5" descr="Red alert button">
          <a:extLst>
            <a:ext uri="{FF2B5EF4-FFF2-40B4-BE49-F238E27FC236}">
              <a16:creationId xmlns:a16="http://schemas.microsoft.com/office/drawing/2014/main" id="{6D12A285-A269-B604-CA36-890F0B5D2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artisticPastelsSmooth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839950" y="711517"/>
          <a:ext cx="1116330" cy="755333"/>
        </a:xfrm>
        <a:prstGeom prst="rect">
          <a:avLst/>
        </a:prstGeom>
        <a:solidFill>
          <a:schemeClr val="accent1"/>
        </a:solidFill>
        <a:ln>
          <a:solidFill>
            <a:schemeClr val="accent1"/>
          </a:solidFill>
        </a:ln>
        <a:effectLst>
          <a:outerShdw blurRad="50800" dist="50800" dir="5400000" sx="103000" sy="103000" algn="ctr" rotWithShape="0">
            <a:srgbClr val="000000">
              <a:alpha val="43137"/>
            </a:srgbClr>
          </a:outerShdw>
        </a:effectLst>
        <a:scene3d>
          <a:camera prst="orthographicFront"/>
          <a:lightRig rig="threePt" dir="t"/>
        </a:scene3d>
        <a:sp3d contourW="12700">
          <a:contourClr>
            <a:srgbClr val="FFFF00"/>
          </a:contourClr>
        </a:sp3d>
      </xdr:spPr>
    </xdr:pic>
    <xdr:clientData fLock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C2"/>
  <sheetViews>
    <sheetView topLeftCell="F1" workbookViewId="0">
      <selection activeCell="F3" sqref="F3"/>
    </sheetView>
  </sheetViews>
  <sheetFormatPr defaultRowHeight="14.4" x14ac:dyDescent="0.55000000000000004"/>
  <cols>
    <col min="1" max="1" width="5.15625" customWidth="1"/>
    <col min="2" max="2" width="14.15625" customWidth="1"/>
    <col min="3" max="3" width="12.41796875" customWidth="1"/>
    <col min="4" max="4" width="16.68359375" customWidth="1"/>
    <col min="5" max="5" width="12.41796875" customWidth="1"/>
    <col min="6" max="6" width="8.15625" customWidth="1"/>
    <col min="7" max="7" width="6.41796875" customWidth="1"/>
    <col min="8" max="8" width="13.578125" customWidth="1"/>
    <col min="9" max="9" width="14.15625" customWidth="1"/>
    <col min="10" max="10" width="7.41796875" customWidth="1"/>
    <col min="11" max="11" width="10.41796875" customWidth="1"/>
    <col min="13" max="13" width="11.15625" customWidth="1"/>
    <col min="14" max="14" width="11.68359375" customWidth="1"/>
    <col min="15" max="15" width="11" customWidth="1"/>
    <col min="16" max="16" width="8.26171875" customWidth="1"/>
    <col min="18" max="18" width="17.15625" customWidth="1"/>
    <col min="19" max="19" width="17.578125" customWidth="1"/>
    <col min="22" max="22" width="9" customWidth="1"/>
    <col min="23" max="24" width="9.68359375" customWidth="1"/>
    <col min="25" max="25" width="11.41796875" customWidth="1"/>
    <col min="27" max="27" width="7.15625" customWidth="1"/>
    <col min="28" max="28" width="7.83984375" customWidth="1"/>
    <col min="29" max="29" width="6.578125" customWidth="1"/>
  </cols>
  <sheetData>
    <row r="1" spans="1:29" x14ac:dyDescent="0.55000000000000004">
      <c r="A1" s="17" t="s">
        <v>4</v>
      </c>
      <c r="B1" s="17"/>
      <c r="C1" s="17"/>
      <c r="D1" s="17"/>
      <c r="E1" s="17"/>
      <c r="F1" s="18" t="s">
        <v>7</v>
      </c>
      <c r="G1" s="19"/>
      <c r="H1" s="19"/>
      <c r="I1" s="19"/>
      <c r="J1" s="20"/>
      <c r="K1" s="21" t="s">
        <v>11</v>
      </c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3"/>
      <c r="Y1" s="16" t="s">
        <v>28</v>
      </c>
      <c r="Z1" s="16"/>
      <c r="AA1" s="16"/>
      <c r="AB1" s="16"/>
      <c r="AC1" s="16"/>
    </row>
    <row r="2" spans="1:29" x14ac:dyDescent="0.55000000000000004">
      <c r="A2" s="1" t="s">
        <v>0</v>
      </c>
      <c r="B2" s="1" t="s">
        <v>1</v>
      </c>
      <c r="C2" s="1" t="s">
        <v>2</v>
      </c>
      <c r="D2" s="1" t="s">
        <v>5</v>
      </c>
      <c r="E2" s="1" t="s">
        <v>6</v>
      </c>
      <c r="F2" s="1" t="s">
        <v>3</v>
      </c>
      <c r="G2" s="1" t="s">
        <v>10</v>
      </c>
      <c r="H2" s="1" t="s">
        <v>9</v>
      </c>
      <c r="I2" s="1" t="s">
        <v>8</v>
      </c>
      <c r="J2" s="1" t="s">
        <v>23</v>
      </c>
      <c r="K2" s="2" t="s">
        <v>19</v>
      </c>
      <c r="L2" s="2" t="s">
        <v>20</v>
      </c>
      <c r="M2" s="2" t="s">
        <v>21</v>
      </c>
      <c r="N2" s="2" t="s">
        <v>22</v>
      </c>
      <c r="O2" s="2" t="s">
        <v>15</v>
      </c>
      <c r="P2" s="2" t="s">
        <v>16</v>
      </c>
      <c r="Q2" s="2" t="s">
        <v>12</v>
      </c>
      <c r="R2" s="2" t="s">
        <v>13</v>
      </c>
      <c r="S2" s="3" t="s">
        <v>14</v>
      </c>
      <c r="T2" s="3" t="s">
        <v>17</v>
      </c>
      <c r="U2" s="2" t="s">
        <v>18</v>
      </c>
      <c r="V2" s="2" t="s">
        <v>25</v>
      </c>
      <c r="W2" s="3" t="s">
        <v>26</v>
      </c>
      <c r="X2" s="3" t="s">
        <v>27</v>
      </c>
      <c r="Y2" s="2" t="s">
        <v>24</v>
      </c>
      <c r="Z2" s="2" t="s">
        <v>29</v>
      </c>
      <c r="AA2" s="2" t="s">
        <v>30</v>
      </c>
      <c r="AB2" s="2" t="s">
        <v>31</v>
      </c>
      <c r="AC2" s="2" t="s">
        <v>32</v>
      </c>
    </row>
  </sheetData>
  <mergeCells count="4">
    <mergeCell ref="Y1:AC1"/>
    <mergeCell ref="A1:E1"/>
    <mergeCell ref="F1:J1"/>
    <mergeCell ref="K1:X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8ADB46-BD99-4F78-B8D3-245D9E8CAB01}">
  <sheetPr codeName="Sheet2"/>
  <dimension ref="A1:AA50"/>
  <sheetViews>
    <sheetView topLeftCell="I1" workbookViewId="0">
      <selection activeCell="R21" sqref="R21"/>
    </sheetView>
  </sheetViews>
  <sheetFormatPr defaultRowHeight="14.4" x14ac:dyDescent="0.55000000000000004"/>
  <cols>
    <col min="1" max="1" width="14.26171875" customWidth="1"/>
    <col min="2" max="2" width="15.15625" style="4" customWidth="1"/>
    <col min="3" max="3" width="19.578125" customWidth="1"/>
    <col min="4" max="4" width="12.41796875" customWidth="1"/>
    <col min="5" max="5" width="19.578125" customWidth="1"/>
    <col min="6" max="6" width="14.15625" customWidth="1"/>
    <col min="7" max="7" width="18.26171875" customWidth="1"/>
    <col min="8" max="8" width="10.41796875" customWidth="1"/>
    <col min="10" max="10" width="11.15625" customWidth="1"/>
    <col min="11" max="11" width="11.68359375" customWidth="1"/>
    <col min="12" max="12" width="11" customWidth="1"/>
    <col min="13" max="13" width="8.26171875" customWidth="1"/>
    <col min="15" max="15" width="13.68359375" customWidth="1"/>
    <col min="16" max="16" width="27.26171875" customWidth="1"/>
    <col min="17" max="17" width="25" customWidth="1"/>
    <col min="18" max="18" width="24.41796875" customWidth="1"/>
    <col min="19" max="19" width="18.68359375" customWidth="1"/>
    <col min="20" max="20" width="11.41796875" customWidth="1"/>
    <col min="22" max="22" width="11.41796875" customWidth="1"/>
    <col min="23" max="23" width="12.68359375" customWidth="1"/>
    <col min="24" max="24" width="9.26171875" customWidth="1"/>
    <col min="25" max="25" width="12.578125" customWidth="1"/>
  </cols>
  <sheetData>
    <row r="1" spans="1:27" x14ac:dyDescent="0.55000000000000004">
      <c r="A1" s="18" t="s">
        <v>4</v>
      </c>
      <c r="B1" s="25"/>
      <c r="C1" s="25"/>
      <c r="D1" s="25"/>
      <c r="E1" s="25"/>
      <c r="F1" s="25"/>
      <c r="G1" s="25"/>
      <c r="H1" s="26" t="s">
        <v>11</v>
      </c>
      <c r="I1" s="27"/>
      <c r="J1" s="27"/>
      <c r="K1" s="27"/>
      <c r="L1" s="27"/>
      <c r="M1" s="27"/>
      <c r="N1" s="27"/>
      <c r="O1" s="27"/>
      <c r="P1" s="27"/>
      <c r="Q1" s="27"/>
      <c r="R1" s="24" t="s">
        <v>28</v>
      </c>
      <c r="S1" s="24"/>
      <c r="T1" s="24"/>
      <c r="U1" s="24"/>
      <c r="V1" s="24"/>
      <c r="W1" s="24"/>
      <c r="X1" s="24"/>
      <c r="Y1" s="24"/>
    </row>
    <row r="2" spans="1:27" x14ac:dyDescent="0.55000000000000004">
      <c r="A2" s="1" t="s">
        <v>0</v>
      </c>
      <c r="B2" s="5" t="s">
        <v>2</v>
      </c>
      <c r="C2" s="1" t="s">
        <v>5</v>
      </c>
      <c r="D2" s="1" t="s">
        <v>6</v>
      </c>
      <c r="E2" s="1" t="s">
        <v>10</v>
      </c>
      <c r="F2" s="1" t="s">
        <v>8</v>
      </c>
      <c r="G2" s="1" t="s">
        <v>23</v>
      </c>
      <c r="H2" s="14" t="s">
        <v>19</v>
      </c>
      <c r="I2" s="14" t="s">
        <v>20</v>
      </c>
      <c r="J2" s="14" t="s">
        <v>21</v>
      </c>
      <c r="K2" s="14" t="s">
        <v>22</v>
      </c>
      <c r="L2" s="14" t="s">
        <v>15</v>
      </c>
      <c r="M2" s="14" t="s">
        <v>16</v>
      </c>
      <c r="N2" s="14" t="s">
        <v>12</v>
      </c>
      <c r="O2" s="14" t="s">
        <v>18</v>
      </c>
      <c r="P2" s="14" t="s">
        <v>63</v>
      </c>
      <c r="Q2" s="14" t="s">
        <v>62</v>
      </c>
      <c r="R2" s="3" t="s">
        <v>36</v>
      </c>
      <c r="S2" s="3" t="s">
        <v>37</v>
      </c>
      <c r="T2" s="3" t="s">
        <v>24</v>
      </c>
      <c r="U2" s="3" t="s">
        <v>29</v>
      </c>
      <c r="V2" s="3" t="s">
        <v>38</v>
      </c>
      <c r="W2" s="3" t="s">
        <v>39</v>
      </c>
      <c r="X2" s="3" t="s">
        <v>40</v>
      </c>
      <c r="Y2" s="3" t="s">
        <v>41</v>
      </c>
    </row>
    <row r="3" spans="1:27" ht="15.3" x14ac:dyDescent="0.55000000000000004">
      <c r="A3" s="7" t="str" cm="1">
        <f t="array" aca="1" ref="A3" ca="1">IF(INDIRECT("'temp_data'!A" &amp; ROW(A1))="","",INDIRECT("'temp_data'!A" &amp; ROW(A1)))</f>
        <v>CHG0195590</v>
      </c>
      <c r="B3" s="8"/>
      <c r="C3" s="7"/>
      <c r="D3" s="7"/>
      <c r="E3" s="7" t="str" cm="1">
        <f t="array" aca="1" ref="E3" ca="1">IFERROR(_xlfn.XLOOKUP(A3, INDIRECT("'temp_data'!A:A"), INDIRECT("'temp_data'!B:B"), ""), "")</f>
        <v>STDSTP05</v>
      </c>
      <c r="F3" s="7" t="str" cm="1">
        <f t="array" aca="1" ref="F3" ca="1">IFERROR(_xlfn.XLOOKUP(A3, INDIRECT("'temp_data'!A:A"), INDIRECT("'temp_data'!G:G"), ""), "")</f>
        <v>IFX_2.1.1</v>
      </c>
      <c r="G3" s="9" t="str" cm="1">
        <f t="array" aca="1" ref="G3" ca="1">IFERROR(_xlfn.XLOOKUP(A3, INDIRECT("'temp_data'!A:A"), INDIRECT("'temp_data'!C:C"), ""), "")</f>
        <v>17.05.05.25</v>
      </c>
      <c r="H3" s="10" cm="1">
        <f t="array" aca="1" ref="H3" ca="1">IFERROR(_xlfn.XLOOKUP(A3, INDIRECT("'temp_data'!A:A"), INDIRECT("'temp_data'!H:H"), ""), "")</f>
        <v>42</v>
      </c>
      <c r="I3" s="10" cm="1">
        <f t="array" aca="1" ref="I3" ca="1">IFERROR(_xlfn.XLOOKUP(A3, INDIRECT("'temp_data'!A:A"), INDIRECT("'temp_data'!I:I"), ""), "")</f>
        <v>2016</v>
      </c>
      <c r="J3" s="10" cm="1">
        <f t="array" aca="1" ref="J3" ca="1">IFERROR(_xlfn.XLOOKUP(A3, INDIRECT("'temp_data'!A:A"), INDIRECT("'temp_data'!J:J"), ""), "")</f>
        <v>54</v>
      </c>
      <c r="K3" s="10" cm="1">
        <f t="array" aca="1" ref="K3" ca="1">IFERROR(_xlfn.XLOOKUP(A3, INDIRECT("'temp_data'!A:A"), INDIRECT("'temp_data'!K:K"), ""), "")</f>
        <v>2592</v>
      </c>
      <c r="L3" s="10" cm="1">
        <f t="array" aca="1" ref="L3" ca="1">IFERROR(_xlfn.XLOOKUP(A3, INDIRECT("'temp_data'!A:A"), INDIRECT("'temp_data'!L:L"), ""), "")</f>
        <v>4.3899999999999997</v>
      </c>
      <c r="M3" s="10" cm="1">
        <f t="array" aca="1" ref="M3" ca="1">IFERROR(_xlfn.XLOOKUP(A3, INDIRECT("'temp_data'!A:A"), INDIRECT("'temp_data'!M:M"), ""), "")</f>
        <v>5.44</v>
      </c>
      <c r="N3" s="10" cm="1">
        <f t="array" aca="1" ref="N3" ca="1">IFERROR(_xlfn.XLOOKUP(A3, INDIRECT("'temp_data'!A:A"), INDIRECT("'temp_data'!N:N"), ""), "")</f>
        <v>9.83</v>
      </c>
      <c r="O3" s="10" cm="1">
        <f t="array" aca="1" ref="O3" ca="1">IFERROR(_xlfn.XLOOKUP(A3, INDIRECT("'temp_data'!A:A"), INDIRECT("'temp_data'!D:D"), ""), "")</f>
        <v>12.65</v>
      </c>
      <c r="P3" s="11" cm="1">
        <f t="array" aca="1" ref="P3" ca="1">IFERROR(_xlfn.XLOOKUP(A3, INDIRECT("'temp_data'!A:A"), INDIRECT("'temp_data'!E:E"), ""), "")</f>
        <v>136.75</v>
      </c>
      <c r="Q3" s="11" cm="1">
        <f t="array" aca="1" ref="Q3" ca="1">IFERROR(_xlfn.XLOOKUP(A3, INDIRECT("'temp_data'!A:A"), INDIRECT("'temp_data'!F:F"), ""), "")</f>
        <v>29.89</v>
      </c>
      <c r="R3" s="11" cm="1">
        <f t="array" aca="1" ref="R3" ca="1">IFERROR(_xlfn.XLOOKUP(A3, INDIRECT("'temp_data'!A:A"), INDIRECT("'temp_data'!O:O"), ""), "")</f>
        <v>1730.01</v>
      </c>
      <c r="S3" s="11" cm="1">
        <f t="array" aca="1" ref="S3" ca="1">IFERROR(_xlfn.XLOOKUP(A3, INDIRECT("'temp_data'!A:A"), INDIRECT("'temp_data'!Q:Q"), ""), "")</f>
        <v>4.57</v>
      </c>
      <c r="T3" s="10" cm="1">
        <f t="array" aca="1" ref="T3" ca="1">IFERROR(_xlfn.XLOOKUP(A3, INDIRECT("'temp_data'!A:A"), INDIRECT("'temp_data'!P:P"), ""), "")</f>
        <v>378.15</v>
      </c>
      <c r="U3" s="10" cm="1">
        <f t="array" aca="1" ref="U3" ca="1">IFERROR(_xlfn.XLOOKUP(A3, INDIRECT("'temp_data'!A:A"), INDIRECT("'temp_data'!R:R"), ""), "")</f>
        <v>138073</v>
      </c>
      <c r="V3" s="11" cm="1">
        <f t="array" aca="1" ref="V3" ca="1">IFERROR(_xlfn.XLOOKUP(A3, INDIRECT("'temp_data'!A:A"), INDIRECT("'temp_data'!S:S"), ""), "")</f>
        <v>288</v>
      </c>
      <c r="W3" s="11" cm="1">
        <f t="array" aca="1" ref="W3" ca="1">IFERROR(_xlfn.XLOOKUP(A3, INDIRECT("'temp_data'!A:A"), INDIRECT("'temp_data'!T:T"), ""), "")</f>
        <v>8473</v>
      </c>
      <c r="X3" s="11" cm="1">
        <f t="array" aca="1" ref="X3" ca="1">IFERROR(_xlfn.XLOOKUP(A3, INDIRECT("'temp_data'!A:A"), INDIRECT("'temp_data'!U:U"), ""), "")</f>
        <v>101095</v>
      </c>
      <c r="Y3" s="11" cm="1">
        <f t="array" aca="1" ref="Y3" ca="1">IFERROR(_xlfn.XLOOKUP(A3, INDIRECT("'temp_data'!A:A"), INDIRECT("'temp_data'!V:V"), ""), "")</f>
        <v>247929</v>
      </c>
      <c r="Z3" s="10"/>
      <c r="AA3" s="10"/>
    </row>
    <row r="4" spans="1:27" ht="15.3" x14ac:dyDescent="0.55000000000000004">
      <c r="A4" s="7" t="str" cm="1">
        <f t="array" aca="1" ref="A4" ca="1">IF(INDIRECT("'temp_data'!A" &amp; ROW(A2))="","",INDIRECT("'temp_data'!A" &amp; ROW(A2)))</f>
        <v>CHG0251187</v>
      </c>
      <c r="B4" s="8"/>
      <c r="C4" s="7"/>
      <c r="D4" s="7"/>
      <c r="E4" s="7" t="str" cm="1">
        <f t="array" aca="1" ref="E4" ca="1">IFERROR(_xlfn.XLOOKUP(A4, INDIRECT("'temp_data'!A:A"), INDIRECT("'temp_data'!B:B"), ""), "")</f>
        <v>TDICAMTSBKPRD05</v>
      </c>
      <c r="F4" s="7" t="str" cm="1">
        <f t="array" aca="1" ref="F4" ca="1">IFERROR(_xlfn.XLOOKUP(A4, INDIRECT("'temp_data'!A:A"), INDIRECT("'temp_data'!G:G"), ""), "")</f>
        <v>Amazon_Cloud</v>
      </c>
      <c r="G4" s="9" t="str" cm="1">
        <f t="array" aca="1" ref="G4" ca="1">IFERROR(_xlfn.XLOOKUP(A4, INDIRECT("'temp_data'!A:A"), INDIRECT("'temp_data'!C:C"), ""), "")</f>
        <v>20.00.24.55</v>
      </c>
      <c r="H4" s="10" cm="1">
        <f t="array" aca="1" ref="H4" ca="1">IFERROR(_xlfn.XLOOKUP(A4, INDIRECT("'temp_data'!A:A"), INDIRECT("'temp_data'!H:H"), ""), "")</f>
        <v>2</v>
      </c>
      <c r="I4" s="10" cm="1">
        <f t="array" aca="1" ref="I4" ca="1">IFERROR(_xlfn.XLOOKUP(A4, INDIRECT("'temp_data'!A:A"), INDIRECT("'temp_data'!I:I"), ""), "")</f>
        <v>48</v>
      </c>
      <c r="J4" s="10" cm="1">
        <f t="array" aca="1" ref="J4" ca="1">IFERROR(_xlfn.XLOOKUP(A4, INDIRECT("'temp_data'!A:A"), INDIRECT("'temp_data'!J:J"), ""), "")</f>
        <v>4</v>
      </c>
      <c r="K4" s="10" cm="1">
        <f t="array" aca="1" ref="K4" ca="1">IFERROR(_xlfn.XLOOKUP(A4, INDIRECT("'temp_data'!A:A"), INDIRECT("'temp_data'!K:K"), ""), "")</f>
        <v>96</v>
      </c>
      <c r="L4" s="10" cm="1">
        <f t="array" aca="1" ref="L4" ca="1">IFERROR(_xlfn.XLOOKUP(A4, INDIRECT("'temp_data'!A:A"), INDIRECT("'temp_data'!L:L"), ""), "")</f>
        <v>1.47</v>
      </c>
      <c r="M4" s="10" cm="1">
        <f t="array" aca="1" ref="M4" ca="1">IFERROR(_xlfn.XLOOKUP(A4, INDIRECT("'temp_data'!A:A"), INDIRECT("'temp_data'!M:M"), ""), "")</f>
        <v>8.48</v>
      </c>
      <c r="N4" s="10" cm="1">
        <f t="array" aca="1" ref="N4" ca="1">IFERROR(_xlfn.XLOOKUP(A4, INDIRECT("'temp_data'!A:A"), INDIRECT("'temp_data'!N:N"), ""), "")</f>
        <v>9.9499999999999993</v>
      </c>
      <c r="O4" s="10" cm="1">
        <f t="array" aca="1" ref="O4" ca="1">IFERROR(_xlfn.XLOOKUP(A4, INDIRECT("'temp_data'!A:A"), INDIRECT("'temp_data'!D:D"), ""), "")</f>
        <v>3.46</v>
      </c>
      <c r="P4" s="11" cm="1">
        <f t="array" aca="1" ref="P4" ca="1">IFERROR(_xlfn.XLOOKUP(A4, INDIRECT("'temp_data'!A:A"), INDIRECT("'temp_data'!E:E"), ""), "")</f>
        <v>6.7</v>
      </c>
      <c r="Q4" s="11" cm="1">
        <f t="array" aca="1" ref="Q4" ca="1">IFERROR(_xlfn.XLOOKUP(A4, INDIRECT("'temp_data'!A:A"), INDIRECT("'temp_data'!F:F"), ""), "")</f>
        <v>1.5</v>
      </c>
      <c r="R4" s="11" cm="1">
        <f t="array" aca="1" ref="R4" ca="1">IFERROR(_xlfn.XLOOKUP(A4, INDIRECT("'temp_data'!A:A"), INDIRECT("'temp_data'!O:O"), ""), "")</f>
        <v>23.187000000000001</v>
      </c>
      <c r="S4" s="11" cm="1">
        <f t="array" aca="1" ref="S4" ca="1">IFERROR(_xlfn.XLOOKUP(A4, INDIRECT("'temp_data'!A:A"), INDIRECT("'temp_data'!Q:Q"), ""), "")</f>
        <v>4.46</v>
      </c>
      <c r="T4" s="10" cm="1">
        <f t="array" aca="1" ref="T4" ca="1">IFERROR(_xlfn.XLOOKUP(A4, INDIRECT("'temp_data'!A:A"), INDIRECT("'temp_data'!P:P"), ""), "")</f>
        <v>5.19</v>
      </c>
      <c r="U4" s="10" cm="1">
        <f t="array" aca="1" ref="U4" ca="1">IFERROR(_xlfn.XLOOKUP(A4, INDIRECT("'temp_data'!A:A"), INDIRECT("'temp_data'!R:R"), ""), "")</f>
        <v>4043</v>
      </c>
      <c r="V4" s="11" cm="1">
        <f t="array" aca="1" ref="V4" ca="1">IFERROR(_xlfn.XLOOKUP(A4, INDIRECT("'temp_data'!A:A"), INDIRECT("'temp_data'!S:S"), ""), "")</f>
        <v>7</v>
      </c>
      <c r="W4" s="11" cm="1">
        <f t="array" aca="1" ref="W4" ca="1">IFERROR(_xlfn.XLOOKUP(A4, INDIRECT("'temp_data'!A:A"), INDIRECT("'temp_data'!T:T"), ""), "")</f>
        <v>297</v>
      </c>
      <c r="X4" s="11" cm="1">
        <f t="array" aca="1" ref="X4" ca="1">IFERROR(_xlfn.XLOOKUP(A4, INDIRECT("'temp_data'!A:A"), INDIRECT("'temp_data'!U:U"), ""), "")</f>
        <v>2217</v>
      </c>
      <c r="Y4" s="11" cm="1">
        <f t="array" aca="1" ref="Y4" ca="1">IFERROR(_xlfn.XLOOKUP(A4, INDIRECT("'temp_data'!A:A"), INDIRECT("'temp_data'!V:V"), ""), "")</f>
        <v>6564</v>
      </c>
      <c r="Z4" s="10"/>
      <c r="AA4" s="10"/>
    </row>
    <row r="5" spans="1:27" ht="15.3" x14ac:dyDescent="0.55000000000000004">
      <c r="A5" s="7" t="str" cm="1">
        <f t="array" aca="1" ref="A5" ca="1">IF(INDIRECT("'temp_data'!A" &amp; ROW(A3))="","",INDIRECT("'temp_data'!A" &amp; ROW(A3)))</f>
        <v>BNPP-NO-CR</v>
      </c>
      <c r="B5" s="8"/>
      <c r="C5" s="7"/>
      <c r="D5" s="7"/>
      <c r="E5" s="7" t="str" cm="1">
        <f t="array" aca="1" ref="E5" ca="1">IFERROR(_xlfn.XLOOKUP(A5, INDIRECT("'temp_data'!A:A"), INDIRECT("'temp_data'!B:B"), ""), "")</f>
        <v>BNPP25</v>
      </c>
      <c r="F5" s="7" t="str" cm="1">
        <f t="array" aca="1" ref="F5" ca="1">IFERROR(_xlfn.XLOOKUP(A5, INDIRECT("'temp_data'!A:A"), INDIRECT("'temp_data'!G:G"), ""), "")</f>
        <v>IFX_2.5</v>
      </c>
      <c r="G5" s="9" t="str" cm="1">
        <f t="array" aca="1" ref="G5" ca="1">IFERROR(_xlfn.XLOOKUP(A5, INDIRECT("'temp_data'!A:A"), INDIRECT("'temp_data'!C:C"), ""), "")</f>
        <v>17.10.03.19</v>
      </c>
      <c r="H5" s="10" cm="1">
        <f t="array" aca="1" ref="H5" ca="1">IFERROR(_xlfn.XLOOKUP(A5, INDIRECT("'temp_data'!A:A"), INDIRECT("'temp_data'!H:H"), ""), "")</f>
        <v>7</v>
      </c>
      <c r="I5" s="10" cm="1">
        <f t="array" aca="1" ref="I5" ca="1">IFERROR(_xlfn.XLOOKUP(A5, INDIRECT("'temp_data'!A:A"), INDIRECT("'temp_data'!I:I"), ""), "")</f>
        <v>144</v>
      </c>
      <c r="J5" s="10" cm="1">
        <f t="array" aca="1" ref="J5" ca="1">IFERROR(_xlfn.XLOOKUP(A5, INDIRECT("'temp_data'!A:A"), INDIRECT("'temp_data'!J:J"), ""), "")</f>
        <v>12</v>
      </c>
      <c r="K5" s="10" cm="1">
        <f t="array" aca="1" ref="K5" ca="1">IFERROR(_xlfn.XLOOKUP(A5, INDIRECT("'temp_data'!A:A"), INDIRECT("'temp_data'!K:K"), ""), "")</f>
        <v>288</v>
      </c>
      <c r="L5" s="10" cm="1">
        <f t="array" aca="1" ref="L5" ca="1">IFERROR(_xlfn.XLOOKUP(A5, INDIRECT("'temp_data'!A:A"), INDIRECT("'temp_data'!L:L"), ""), "")</f>
        <v>5.01</v>
      </c>
      <c r="M5" s="10" cm="1">
        <f t="array" aca="1" ref="M5" ca="1">IFERROR(_xlfn.XLOOKUP(A5, INDIRECT("'temp_data'!A:A"), INDIRECT("'temp_data'!M:M"), ""), "")</f>
        <v>21.86</v>
      </c>
      <c r="N5" s="10" cm="1">
        <f t="array" aca="1" ref="N5" ca="1">IFERROR(_xlfn.XLOOKUP(A5, INDIRECT("'temp_data'!A:A"), INDIRECT("'temp_data'!N:N"), ""), "")</f>
        <v>26.87</v>
      </c>
      <c r="O5" s="10" cm="1">
        <f t="array" aca="1" ref="O5" ca="1">IFERROR(_xlfn.XLOOKUP(A5, INDIRECT("'temp_data'!A:A"), INDIRECT("'temp_data'!D:D"), ""), "")</f>
        <v>11.76</v>
      </c>
      <c r="P5" s="11" cm="1">
        <f t="array" aca="1" ref="P5" ca="1">IFERROR(_xlfn.XLOOKUP(A5, INDIRECT("'temp_data'!A:A"), INDIRECT("'temp_data'!E:E"), ""), "")</f>
        <v>59.97</v>
      </c>
      <c r="Q5" s="11" cm="1">
        <f t="array" aca="1" ref="Q5" ca="1">IFERROR(_xlfn.XLOOKUP(A5, INDIRECT("'temp_data'!A:A"), INDIRECT("'temp_data'!F:F"), ""), "")</f>
        <v>8.6199999999999992</v>
      </c>
      <c r="R5" s="11" cm="1">
        <f t="array" aca="1" ref="R5" ca="1">IFERROR(_xlfn.XLOOKUP(A5, INDIRECT("'temp_data'!A:A"), INDIRECT("'temp_data'!O:O"), ""), "")</f>
        <v>705.24800000000005</v>
      </c>
      <c r="S5" s="11" cm="1">
        <f t="array" aca="1" ref="S5" ca="1">IFERROR(_xlfn.XLOOKUP(A5, INDIRECT("'temp_data'!A:A"), INDIRECT("'temp_data'!Q:Q"), ""), "")</f>
        <v>6.95</v>
      </c>
      <c r="T5" s="10" cm="1">
        <f t="array" aca="1" ref="T5" ca="1">IFERROR(_xlfn.XLOOKUP(A5, INDIRECT("'temp_data'!A:A"), INDIRECT("'temp_data'!P:P"), ""), "")</f>
        <v>101.4</v>
      </c>
      <c r="U5" s="10" cm="1">
        <f t="array" aca="1" ref="U5" ca="1">IFERROR(_xlfn.XLOOKUP(A5, INDIRECT("'temp_data'!A:A"), INDIRECT("'temp_data'!R:R"), ""), "")</f>
        <v>61698</v>
      </c>
      <c r="V5" s="11" cm="1">
        <f t="array" aca="1" ref="V5" ca="1">IFERROR(_xlfn.XLOOKUP(A5, INDIRECT("'temp_data'!A:A"), INDIRECT("'temp_data'!S:S"), ""), "")</f>
        <v>100</v>
      </c>
      <c r="W5" s="11" cm="1">
        <f t="array" aca="1" ref="W5" ca="1">IFERROR(_xlfn.XLOOKUP(A5, INDIRECT("'temp_data'!A:A"), INDIRECT("'temp_data'!T:T"), ""), "")</f>
        <v>10998</v>
      </c>
      <c r="X5" s="11" cm="1">
        <f t="array" aca="1" ref="X5" ca="1">IFERROR(_xlfn.XLOOKUP(A5, INDIRECT("'temp_data'!A:A"), INDIRECT("'temp_data'!U:U"), ""), "")</f>
        <v>40563</v>
      </c>
      <c r="Y5" s="11" cm="1">
        <f t="array" aca="1" ref="Y5" ca="1">IFERROR(_xlfn.XLOOKUP(A5, INDIRECT("'temp_data'!A:A"), INDIRECT("'temp_data'!V:V"), ""), "")</f>
        <v>113359</v>
      </c>
      <c r="Z5" s="10"/>
      <c r="AA5" s="10"/>
    </row>
    <row r="6" spans="1:27" ht="15.3" x14ac:dyDescent="0.55000000000000004">
      <c r="A6" s="7" t="str" cm="1">
        <f t="array" aca="1" ref="A6" ca="1">IF(INDIRECT("'temp_data'!A" &amp; ROW(A4))="","",INDIRECT("'temp_data'!A" &amp; ROW(A4)))</f>
        <v>CHG0246640</v>
      </c>
      <c r="B6" s="8"/>
      <c r="C6" s="7"/>
      <c r="D6" s="7"/>
      <c r="E6" s="7" t="str" cm="1">
        <f t="array" aca="1" ref="E6" ca="1">IFERROR(_xlfn.XLOOKUP(A6, INDIRECT("'temp_data'!A:A"), INDIRECT("'temp_data'!B:B"), ""), "")</f>
        <v>ALRAJHI04</v>
      </c>
      <c r="F6" s="7" t="str" cm="1">
        <f t="array" aca="1" ref="F6" ca="1">IFERROR(_xlfn.XLOOKUP(A6, INDIRECT("'temp_data'!A:A"), INDIRECT("'temp_data'!G:G"), ""), "")</f>
        <v>IFX_2.1</v>
      </c>
      <c r="G6" s="9" t="str" cm="1">
        <f t="array" aca="1" ref="G6" ca="1">IFERROR(_xlfn.XLOOKUP(A6, INDIRECT("'temp_data'!A:A"), INDIRECT("'temp_data'!C:C"), ""), "")</f>
        <v>17.20.03.30</v>
      </c>
      <c r="H6" s="10" cm="1">
        <f t="array" aca="1" ref="H6" ca="1">IFERROR(_xlfn.XLOOKUP(A6, INDIRECT("'temp_data'!A:A"), INDIRECT("'temp_data'!H:H"), ""), "")</f>
        <v>6</v>
      </c>
      <c r="I6" s="10" cm="1">
        <f t="array" aca="1" ref="I6" ca="1">IFERROR(_xlfn.XLOOKUP(A6, INDIRECT("'temp_data'!A:A"), INDIRECT("'temp_data'!I:I"), ""), "")</f>
        <v>288</v>
      </c>
      <c r="J6" s="10" cm="1">
        <f t="array" aca="1" ref="J6" ca="1">IFERROR(_xlfn.XLOOKUP(A6, INDIRECT("'temp_data'!A:A"), INDIRECT("'temp_data'!J:J"), ""), "")</f>
        <v>12</v>
      </c>
      <c r="K6" s="10" cm="1">
        <f t="array" aca="1" ref="K6" ca="1">IFERROR(_xlfn.XLOOKUP(A6, INDIRECT("'temp_data'!A:A"), INDIRECT("'temp_data'!K:K"), ""), "")</f>
        <v>576</v>
      </c>
      <c r="L6" s="10" cm="1">
        <f t="array" aca="1" ref="L6" ca="1">IFERROR(_xlfn.XLOOKUP(A6, INDIRECT("'temp_data'!A:A"), INDIRECT("'temp_data'!L:L"), ""), "")</f>
        <v>9.86</v>
      </c>
      <c r="M6" s="10" cm="1">
        <f t="array" aca="1" ref="M6" ca="1">IFERROR(_xlfn.XLOOKUP(A6, INDIRECT("'temp_data'!A:A"), INDIRECT("'temp_data'!M:M"), ""), "")</f>
        <v>25.05</v>
      </c>
      <c r="N6" s="10" cm="1">
        <f t="array" aca="1" ref="N6" ca="1">IFERROR(_xlfn.XLOOKUP(A6, INDIRECT("'temp_data'!A:A"), INDIRECT("'temp_data'!N:N"), ""), "")</f>
        <v>34.909999999999997</v>
      </c>
      <c r="O6" s="10" cm="1">
        <f t="array" aca="1" ref="O6" ca="1">IFERROR(_xlfn.XLOOKUP(A6, INDIRECT("'temp_data'!A:A"), INDIRECT("'temp_data'!D:D"), ""), "")</f>
        <v>40.28</v>
      </c>
      <c r="P6" s="11" cm="1">
        <f t="array" aca="1" ref="P6" ca="1">IFERROR(_xlfn.XLOOKUP(A6, INDIRECT("'temp_data'!A:A"), INDIRECT("'temp_data'!E:E"), ""), "")</f>
        <v>19.95</v>
      </c>
      <c r="Q6" s="11" cm="1">
        <f t="array" aca="1" ref="Q6" ca="1">IFERROR(_xlfn.XLOOKUP(A6, INDIRECT("'temp_data'!A:A"), INDIRECT("'temp_data'!F:F"), ""), "")</f>
        <v>4.7</v>
      </c>
      <c r="R6" s="11" cm="1">
        <f t="array" aca="1" ref="R6" ca="1">IFERROR(_xlfn.XLOOKUP(A6, INDIRECT("'temp_data'!A:A"), INDIRECT("'temp_data'!O:O"), ""), "")</f>
        <v>803.98699999999997</v>
      </c>
      <c r="S6" s="11" cm="1">
        <f t="array" aca="1" ref="S6" ca="1">IFERROR(_xlfn.XLOOKUP(A6, INDIRECT("'temp_data'!A:A"), INDIRECT("'temp_data'!Q:Q"), ""), "")</f>
        <v>4.2300000000000004</v>
      </c>
      <c r="T6" s="10" cm="1">
        <f t="array" aca="1" ref="T6" ca="1">IFERROR(_xlfn.XLOOKUP(A6, INDIRECT("'temp_data'!A:A"), INDIRECT("'temp_data'!P:P"), ""), "")</f>
        <v>189.62</v>
      </c>
      <c r="U6" s="10" cm="1">
        <f t="array" aca="1" ref="U6" ca="1">IFERROR(_xlfn.XLOOKUP(A6, INDIRECT("'temp_data'!A:A"), INDIRECT("'temp_data'!R:R"), ""), "")</f>
        <v>7055</v>
      </c>
      <c r="V6" s="11" cm="1">
        <f t="array" aca="1" ref="V6" ca="1">IFERROR(_xlfn.XLOOKUP(A6, INDIRECT("'temp_data'!A:A"), INDIRECT("'temp_data'!S:S"), ""), "")</f>
        <v>166</v>
      </c>
      <c r="W6" s="11" cm="1">
        <f t="array" aca="1" ref="W6" ca="1">IFERROR(_xlfn.XLOOKUP(A6, INDIRECT("'temp_data'!A:A"), INDIRECT("'temp_data'!T:T"), ""), "")</f>
        <v>3261</v>
      </c>
      <c r="X6" s="11" cm="1">
        <f t="array" aca="1" ref="X6" ca="1">IFERROR(_xlfn.XLOOKUP(A6, INDIRECT("'temp_data'!A:A"), INDIRECT("'temp_data'!U:U"), ""), "")</f>
        <v>11029</v>
      </c>
      <c r="Y6" s="11" cm="1">
        <f t="array" aca="1" ref="Y6" ca="1">IFERROR(_xlfn.XLOOKUP(A6, INDIRECT("'temp_data'!A:A"), INDIRECT("'temp_data'!V:V"), ""), "")</f>
        <v>21512</v>
      </c>
      <c r="Z6" s="10"/>
      <c r="AA6" s="10"/>
    </row>
    <row r="7" spans="1:27" ht="15.3" x14ac:dyDescent="0.55000000000000004">
      <c r="A7" s="7" t="str" cm="1">
        <f t="array" aca="1" ref="A7" ca="1">IF(INDIRECT("'temp_data'!A" &amp; ROW(A5))="","",INDIRECT("'temp_data'!A" &amp; ROW(A5)))</f>
        <v>fnb01-nocr</v>
      </c>
      <c r="B7" s="8"/>
      <c r="C7" s="7"/>
      <c r="D7" s="7"/>
      <c r="E7" s="7" t="str" cm="1">
        <f t="array" aca="1" ref="E7" ca="1">IFERROR(_xlfn.XLOOKUP(A7, INDIRECT("'temp_data'!A:A"), INDIRECT("'temp_data'!B:B"), ""), "")</f>
        <v>FNB01</v>
      </c>
      <c r="F7" s="7" t="str" cm="1">
        <f t="array" aca="1" ref="F7" ca="1">IFERROR(_xlfn.XLOOKUP(A7, INDIRECT("'temp_data'!A:A"), INDIRECT("'temp_data'!G:G"), ""), "")</f>
        <v>IFX_2.1</v>
      </c>
      <c r="G7" s="9" t="str" cm="1">
        <f t="array" aca="1" ref="G7" ca="1">IFERROR(_xlfn.XLOOKUP(A7, INDIRECT("'temp_data'!A:A"), INDIRECT("'temp_data'!C:C"), ""), "")</f>
        <v>17.10.03.25</v>
      </c>
      <c r="H7" s="10" cm="1">
        <f t="array" aca="1" ref="H7" ca="1">IFERROR(_xlfn.XLOOKUP(A7, INDIRECT("'temp_data'!A:A"), INDIRECT("'temp_data'!H:H"), ""), "")</f>
        <v>12</v>
      </c>
      <c r="I7" s="10" cm="1">
        <f t="array" aca="1" ref="I7" ca="1">IFERROR(_xlfn.XLOOKUP(A7, INDIRECT("'temp_data'!A:A"), INDIRECT("'temp_data'!I:I"), ""), "")</f>
        <v>432</v>
      </c>
      <c r="J7" s="10" cm="1">
        <f t="array" aca="1" ref="J7" ca="1">IFERROR(_xlfn.XLOOKUP(A7, INDIRECT("'temp_data'!A:A"), INDIRECT("'temp_data'!J:J"), ""), "")</f>
        <v>18</v>
      </c>
      <c r="K7" s="10" cm="1">
        <f t="array" aca="1" ref="K7" ca="1">IFERROR(_xlfn.XLOOKUP(A7, INDIRECT("'temp_data'!A:A"), INDIRECT("'temp_data'!K:K"), ""), "")</f>
        <v>648</v>
      </c>
      <c r="L7" s="10" cm="1">
        <f t="array" aca="1" ref="L7" ca="1">IFERROR(_xlfn.XLOOKUP(A7, INDIRECT("'temp_data'!A:A"), INDIRECT("'temp_data'!L:L"), ""), "")</f>
        <v>24.57</v>
      </c>
      <c r="M7" s="10" cm="1">
        <f t="array" aca="1" ref="M7" ca="1">IFERROR(_xlfn.XLOOKUP(A7, INDIRECT("'temp_data'!A:A"), INDIRECT("'temp_data'!M:M"), ""), "")</f>
        <v>59.72</v>
      </c>
      <c r="N7" s="10" cm="1">
        <f t="array" aca="1" ref="N7" ca="1">IFERROR(_xlfn.XLOOKUP(A7, INDIRECT("'temp_data'!A:A"), INDIRECT("'temp_data'!N:N"), ""), "")</f>
        <v>84.29</v>
      </c>
      <c r="O7" s="10" cm="1">
        <f t="array" aca="1" ref="O7" ca="1">IFERROR(_xlfn.XLOOKUP(A7, INDIRECT("'temp_data'!A:A"), INDIRECT("'temp_data'!D:D"), ""), "")</f>
        <v>75.61</v>
      </c>
      <c r="P7" s="11" cm="1">
        <f t="array" aca="1" ref="P7" ca="1">IFERROR(_xlfn.XLOOKUP(A7, INDIRECT("'temp_data'!A:A"), INDIRECT("'temp_data'!E:E"), ""), "")</f>
        <v>46.32</v>
      </c>
      <c r="Q7" s="11" cm="1">
        <f t="array" aca="1" ref="Q7" ca="1">IFERROR(_xlfn.XLOOKUP(A7, INDIRECT("'temp_data'!A:A"), INDIRECT("'temp_data'!F:F"), ""), "")</f>
        <v>6.13</v>
      </c>
      <c r="R7" s="11" cm="1">
        <f t="array" aca="1" ref="R7" ca="1">IFERROR(_xlfn.XLOOKUP(A7, INDIRECT("'temp_data'!A:A"), INDIRECT("'temp_data'!O:O"), ""), "")</f>
        <v>3502.82</v>
      </c>
      <c r="S7" s="11" cm="1">
        <f t="array" aca="1" ref="S7" ca="1">IFERROR(_xlfn.XLOOKUP(A7, INDIRECT("'temp_data'!A:A"), INDIRECT("'temp_data'!Q:Q"), ""), "")</f>
        <v>7.55</v>
      </c>
      <c r="T7" s="10" cm="1">
        <f t="array" aca="1" ref="T7" ca="1">IFERROR(_xlfn.XLOOKUP(A7, INDIRECT("'temp_data'!A:A"), INDIRECT("'temp_data'!P:P"), ""), "")</f>
        <v>463.84</v>
      </c>
      <c r="U7" s="10" cm="1">
        <f t="array" aca="1" ref="U7" ca="1">IFERROR(_xlfn.XLOOKUP(A7, INDIRECT("'temp_data'!A:A"), INDIRECT("'temp_data'!R:R"), ""), "")</f>
        <v>111042</v>
      </c>
      <c r="V7" s="11" cm="1">
        <f t="array" aca="1" ref="V7" ca="1">IFERROR(_xlfn.XLOOKUP(A7, INDIRECT("'temp_data'!A:A"), INDIRECT("'temp_data'!S:S"), ""), "")</f>
        <v>633</v>
      </c>
      <c r="W7" s="11" cm="1">
        <f t="array" aca="1" ref="W7" ca="1">IFERROR(_xlfn.XLOOKUP(A7, INDIRECT("'temp_data'!A:A"), INDIRECT("'temp_data'!T:T"), ""), "")</f>
        <v>23244</v>
      </c>
      <c r="X7" s="11" cm="1">
        <f t="array" aca="1" ref="X7" ca="1">IFERROR(_xlfn.XLOOKUP(A7, INDIRECT("'temp_data'!A:A"), INDIRECT("'temp_data'!U:U"), ""), "")</f>
        <v>81465</v>
      </c>
      <c r="Y7" s="11" cm="1">
        <f t="array" aca="1" ref="Y7" ca="1">IFERROR(_xlfn.XLOOKUP(A7, INDIRECT("'temp_data'!A:A"), INDIRECT("'temp_data'!V:V"), ""), "")</f>
        <v>216384</v>
      </c>
      <c r="Z7" s="10"/>
      <c r="AA7" s="10"/>
    </row>
    <row r="8" spans="1:27" ht="15.3" x14ac:dyDescent="0.55000000000000004">
      <c r="A8" s="7" t="str" cm="1">
        <f t="array" aca="1" ref="A8" ca="1">IF(INDIRECT("'temp_data'!A" &amp; ROW(A6))="","",INDIRECT("'temp_data'!A" &amp; ROW(A6)))</f>
        <v>FNB02-nocr</v>
      </c>
      <c r="B8" s="8"/>
      <c r="C8" s="7"/>
      <c r="D8" s="7"/>
      <c r="E8" s="7" t="str" cm="1">
        <f t="array" aca="1" ref="E8" ca="1">IFERROR(_xlfn.XLOOKUP(A8, INDIRECT("'temp_data'!A:A"), INDIRECT("'temp_data'!B:B"), ""), "")</f>
        <v>FNB02</v>
      </c>
      <c r="F8" s="7" t="str" cm="1">
        <f t="array" aca="1" ref="F8" ca="1">IFERROR(_xlfn.XLOOKUP(A8, INDIRECT("'temp_data'!A:A"), INDIRECT("'temp_data'!G:G"), ""), "")</f>
        <v>IFX_2.1</v>
      </c>
      <c r="G8" s="9" t="str" cm="1">
        <f t="array" aca="1" ref="G8" ca="1">IFERROR(_xlfn.XLOOKUP(A8, INDIRECT("'temp_data'!A:A"), INDIRECT("'temp_data'!C:C"), ""), "")</f>
        <v>17.10.03.25</v>
      </c>
      <c r="H8" s="10" cm="1">
        <f t="array" aca="1" ref="H8" ca="1">IFERROR(_xlfn.XLOOKUP(A8, INDIRECT("'temp_data'!A:A"), INDIRECT("'temp_data'!H:H"), ""), "")</f>
        <v>12</v>
      </c>
      <c r="I8" s="10" cm="1">
        <f t="array" aca="1" ref="I8" ca="1">IFERROR(_xlfn.XLOOKUP(A8, INDIRECT("'temp_data'!A:A"), INDIRECT("'temp_data'!I:I"), ""), "")</f>
        <v>432</v>
      </c>
      <c r="J8" s="10" cm="1">
        <f t="array" aca="1" ref="J8" ca="1">IFERROR(_xlfn.XLOOKUP(A8, INDIRECT("'temp_data'!A:A"), INDIRECT("'temp_data'!J:J"), ""), "")</f>
        <v>18</v>
      </c>
      <c r="K8" s="10" cm="1">
        <f t="array" aca="1" ref="K8" ca="1">IFERROR(_xlfn.XLOOKUP(A8, INDIRECT("'temp_data'!A:A"), INDIRECT("'temp_data'!K:K"), ""), "")</f>
        <v>648</v>
      </c>
      <c r="L8" s="10" cm="1">
        <f t="array" aca="1" ref="L8" ca="1">IFERROR(_xlfn.XLOOKUP(A8, INDIRECT("'temp_data'!A:A"), INDIRECT("'temp_data'!L:L"), ""), "")</f>
        <v>19.57</v>
      </c>
      <c r="M8" s="10" cm="1">
        <f t="array" aca="1" ref="M8" ca="1">IFERROR(_xlfn.XLOOKUP(A8, INDIRECT("'temp_data'!A:A"), INDIRECT("'temp_data'!M:M"), ""), "")</f>
        <v>26.91</v>
      </c>
      <c r="N8" s="10" cm="1">
        <f t="array" aca="1" ref="N8" ca="1">IFERROR(_xlfn.XLOOKUP(A8, INDIRECT("'temp_data'!A:A"), INDIRECT("'temp_data'!N:N"), ""), "")</f>
        <v>46.48</v>
      </c>
      <c r="O8" s="10" cm="1">
        <f t="array" aca="1" ref="O8" ca="1">IFERROR(_xlfn.XLOOKUP(A8, INDIRECT("'temp_data'!A:A"), INDIRECT("'temp_data'!D:D"), ""), "")</f>
        <v>46.1</v>
      </c>
      <c r="P8" s="11" cm="1">
        <f t="array" aca="1" ref="P8" ca="1">IFERROR(_xlfn.XLOOKUP(A8, INDIRECT("'temp_data'!A:A"), INDIRECT("'temp_data'!E:E"), ""), "")</f>
        <v>33.94</v>
      </c>
      <c r="Q8" s="11" cm="1">
        <f t="array" aca="1" ref="Q8" ca="1">IFERROR(_xlfn.XLOOKUP(A8, INDIRECT("'temp_data'!A:A"), INDIRECT("'temp_data'!F:F"), ""), "")</f>
        <v>4.32</v>
      </c>
      <c r="R8" s="11" cm="1">
        <f t="array" aca="1" ref="R8" ca="1">IFERROR(_xlfn.XLOOKUP(A8, INDIRECT("'temp_data'!A:A"), INDIRECT("'temp_data'!O:O"), ""), "")</f>
        <v>1564.74</v>
      </c>
      <c r="S8" s="11" cm="1">
        <f t="array" aca="1" ref="S8" ca="1">IFERROR(_xlfn.XLOOKUP(A8, INDIRECT("'temp_data'!A:A"), INDIRECT("'temp_data'!Q:Q"), ""), "")</f>
        <v>7.85</v>
      </c>
      <c r="T8" s="10" cm="1">
        <f t="array" aca="1" ref="T8" ca="1">IFERROR(_xlfn.XLOOKUP(A8, INDIRECT("'temp_data'!A:A"), INDIRECT("'temp_data'!P:P"), ""), "")</f>
        <v>199.21</v>
      </c>
      <c r="U8" s="10" cm="1">
        <f t="array" aca="1" ref="U8" ca="1">IFERROR(_xlfn.XLOOKUP(A8, INDIRECT("'temp_data'!A:A"), INDIRECT("'temp_data'!R:R"), ""), "")</f>
        <v>84572</v>
      </c>
      <c r="V8" s="11" cm="1">
        <f t="array" aca="1" ref="V8" ca="1">IFERROR(_xlfn.XLOOKUP(A8, INDIRECT("'temp_data'!A:A"), INDIRECT("'temp_data'!S:S"), ""), "")</f>
        <v>227</v>
      </c>
      <c r="W8" s="11" cm="1">
        <f t="array" aca="1" ref="W8" ca="1">IFERROR(_xlfn.XLOOKUP(A8, INDIRECT("'temp_data'!A:A"), INDIRECT("'temp_data'!T:T"), ""), "")</f>
        <v>16381</v>
      </c>
      <c r="X8" s="11" cm="1">
        <f t="array" aca="1" ref="X8" ca="1">IFERROR(_xlfn.XLOOKUP(A8, INDIRECT("'temp_data'!A:A"), INDIRECT("'temp_data'!U:U"), ""), "")</f>
        <v>64642</v>
      </c>
      <c r="Y8" s="11" cm="1">
        <f t="array" aca="1" ref="Y8" ca="1">IFERROR(_xlfn.XLOOKUP(A8, INDIRECT("'temp_data'!A:A"), INDIRECT("'temp_data'!V:V"), ""), "")</f>
        <v>165822</v>
      </c>
      <c r="Z8" s="10"/>
      <c r="AA8" s="10"/>
    </row>
    <row r="9" spans="1:27" ht="15.3" x14ac:dyDescent="0.55000000000000004">
      <c r="A9" s="7" t="str" cm="1">
        <f t="array" aca="1" ref="A9" ca="1">IF(INDIRECT("'temp_data'!A" &amp; ROW(A7))="","",INDIRECT("'temp_data'!A" &amp; ROW(A7)))</f>
        <v>CHBIT07-nocr</v>
      </c>
      <c r="B9" s="8"/>
      <c r="C9" s="7"/>
      <c r="D9" s="7"/>
      <c r="E9" s="7" t="str" cm="1">
        <f t="array" aca="1" ref="E9" ca="1">IFERROR(_xlfn.XLOOKUP(A9, INDIRECT("'temp_data'!A:A"), INDIRECT("'temp_data'!B:B"), ""), "")</f>
        <v>CHBIT07</v>
      </c>
      <c r="F9" s="7" t="str" cm="1">
        <f t="array" aca="1" ref="F9" ca="1">IFERROR(_xlfn.XLOOKUP(A9, INDIRECT("'temp_data'!A:A"), INDIRECT("'temp_data'!G:G"), ""), "")</f>
        <v>IFX_2.1.1</v>
      </c>
      <c r="G9" s="9" t="str" cm="1">
        <f t="array" aca="1" ref="G9" ca="1">IFERROR(_xlfn.XLOOKUP(A9, INDIRECT("'temp_data'!A:A"), INDIRECT("'temp_data'!C:C"), ""), "")</f>
        <v>17.10.03.18</v>
      </c>
      <c r="H9" s="10" cm="1">
        <f t="array" aca="1" ref="H9" ca="1">IFERROR(_xlfn.XLOOKUP(A9, INDIRECT("'temp_data'!A:A"), INDIRECT("'temp_data'!H:H"), ""), "")</f>
        <v>6</v>
      </c>
      <c r="I9" s="10" cm="1">
        <f t="array" aca="1" ref="I9" ca="1">IFERROR(_xlfn.XLOOKUP(A9, INDIRECT("'temp_data'!A:A"), INDIRECT("'temp_data'!I:I"), ""), "")</f>
        <v>216</v>
      </c>
      <c r="J9" s="10" cm="1">
        <f t="array" aca="1" ref="J9" ca="1">IFERROR(_xlfn.XLOOKUP(A9, INDIRECT("'temp_data'!A:A"), INDIRECT("'temp_data'!J:J"), ""), "")</f>
        <v>12</v>
      </c>
      <c r="K9" s="10" cm="1">
        <f t="array" aca="1" ref="K9" ca="1">IFERROR(_xlfn.XLOOKUP(A9, INDIRECT("'temp_data'!A:A"), INDIRECT("'temp_data'!K:K"), ""), "")</f>
        <v>432</v>
      </c>
      <c r="L9" s="10" cm="1">
        <f t="array" aca="1" ref="L9" ca="1">IFERROR(_xlfn.XLOOKUP(A9, INDIRECT("'temp_data'!A:A"), INDIRECT("'temp_data'!L:L"), ""), "")</f>
        <v>0.7</v>
      </c>
      <c r="M9" s="10" cm="1">
        <f t="array" aca="1" ref="M9" ca="1">IFERROR(_xlfn.XLOOKUP(A9, INDIRECT("'temp_data'!A:A"), INDIRECT("'temp_data'!M:M"), ""), "")</f>
        <v>2.54</v>
      </c>
      <c r="N9" s="10" cm="1">
        <f t="array" aca="1" ref="N9" ca="1">IFERROR(_xlfn.XLOOKUP(A9, INDIRECT("'temp_data'!A:A"), INDIRECT("'temp_data'!N:N"), ""), "")</f>
        <v>3.24</v>
      </c>
      <c r="O9" s="10" cm="1">
        <f t="array" aca="1" ref="O9" ca="1">IFERROR(_xlfn.XLOOKUP(A9, INDIRECT("'temp_data'!A:A"), INDIRECT("'temp_data'!D:D"), ""), "")</f>
        <v>3.5</v>
      </c>
      <c r="P9" s="11" cm="1">
        <f t="array" aca="1" ref="P9" ca="1">IFERROR(_xlfn.XLOOKUP(A9, INDIRECT("'temp_data'!A:A"), INDIRECT("'temp_data'!E:E"), ""), "")</f>
        <v>17.350000000000001</v>
      </c>
      <c r="Q9" s="11" cm="1">
        <f t="array" aca="1" ref="Q9" ca="1">IFERROR(_xlfn.XLOOKUP(A9, INDIRECT("'temp_data'!A:A"), INDIRECT("'temp_data'!F:F"), ""), "")</f>
        <v>4.74</v>
      </c>
      <c r="R9" s="11" cm="1">
        <f t="array" aca="1" ref="R9" ca="1">IFERROR(_xlfn.XLOOKUP(A9, INDIRECT("'temp_data'!A:A"), INDIRECT("'temp_data'!O:O"), ""), "")</f>
        <v>60.7333</v>
      </c>
      <c r="S9" s="11" cm="1">
        <f t="array" aca="1" ref="S9" ca="1">IFERROR(_xlfn.XLOOKUP(A9, INDIRECT("'temp_data'!A:A"), INDIRECT("'temp_data'!Q:Q"), ""), "")</f>
        <v>3.66</v>
      </c>
      <c r="T9" s="10" cm="1">
        <f t="array" aca="1" ref="T9" ca="1">IFERROR(_xlfn.XLOOKUP(A9, INDIRECT("'temp_data'!A:A"), INDIRECT("'temp_data'!P:P"), ""), "")</f>
        <v>16.59</v>
      </c>
      <c r="U9" s="10" cm="1">
        <f t="array" aca="1" ref="U9" ca="1">IFERROR(_xlfn.XLOOKUP(A9, INDIRECT("'temp_data'!A:A"), INDIRECT("'temp_data'!R:R"), ""), "")</f>
        <v>8083</v>
      </c>
      <c r="V9" s="11" cm="1">
        <f t="array" aca="1" ref="V9" ca="1">IFERROR(_xlfn.XLOOKUP(A9, INDIRECT("'temp_data'!A:A"), INDIRECT("'temp_data'!S:S"), ""), "")</f>
        <v>13</v>
      </c>
      <c r="W9" s="11" cm="1">
        <f t="array" aca="1" ref="W9" ca="1">IFERROR(_xlfn.XLOOKUP(A9, INDIRECT("'temp_data'!A:A"), INDIRECT("'temp_data'!T:T"), ""), "")</f>
        <v>1064</v>
      </c>
      <c r="X9" s="11" cm="1">
        <f t="array" aca="1" ref="X9" ca="1">IFERROR(_xlfn.XLOOKUP(A9, INDIRECT("'temp_data'!A:A"), INDIRECT("'temp_data'!U:U"), ""), "")</f>
        <v>8188</v>
      </c>
      <c r="Y9" s="11" cm="1">
        <f t="array" aca="1" ref="Y9" ca="1">IFERROR(_xlfn.XLOOKUP(A9, INDIRECT("'temp_data'!A:A"), INDIRECT("'temp_data'!V:V"), ""), "")</f>
        <v>17348</v>
      </c>
      <c r="Z9" s="10"/>
      <c r="AA9" s="10"/>
    </row>
    <row r="10" spans="1:27" ht="15.3" x14ac:dyDescent="0.55000000000000004">
      <c r="A10" s="7" t="str" cm="1">
        <f t="array" aca="1" ref="A10" ca="1">IF(INDIRECT("'temp_data'!A" &amp; ROW(A8))="","",INDIRECT("'temp_data'!A" &amp; ROW(A8)))</f>
        <v>CHBIT08-nocr</v>
      </c>
      <c r="B10" s="8"/>
      <c r="C10" s="7"/>
      <c r="D10" s="7"/>
      <c r="E10" s="7" t="str" cm="1">
        <f t="array" aca="1" ref="E10" ca="1">IFERROR(_xlfn.XLOOKUP(A10, INDIRECT("'temp_data'!A:A"), INDIRECT("'temp_data'!B:B"), ""), "")</f>
        <v>CHBIT08</v>
      </c>
      <c r="F10" s="7" t="str" cm="1">
        <f t="array" aca="1" ref="F10" ca="1">IFERROR(_xlfn.XLOOKUP(A10, INDIRECT("'temp_data'!A:A"), INDIRECT("'temp_data'!G:G"), ""), "")</f>
        <v>IFX_2.1.1</v>
      </c>
      <c r="G10" s="9" t="str" cm="1">
        <f t="array" aca="1" ref="G10" ca="1">IFERROR(_xlfn.XLOOKUP(A10, INDIRECT("'temp_data'!A:A"), INDIRECT("'temp_data'!C:C"), ""), "")</f>
        <v>17.10.03.18</v>
      </c>
      <c r="H10" s="10" cm="1">
        <f t="array" aca="1" ref="H10" ca="1">IFERROR(_xlfn.XLOOKUP(A10, INDIRECT("'temp_data'!A:A"), INDIRECT("'temp_data'!H:H"), ""), "")</f>
        <v>6</v>
      </c>
      <c r="I10" s="10" cm="1">
        <f t="array" aca="1" ref="I10" ca="1">IFERROR(_xlfn.XLOOKUP(A10, INDIRECT("'temp_data'!A:A"), INDIRECT("'temp_data'!I:I"), ""), "")</f>
        <v>216</v>
      </c>
      <c r="J10" s="10" cm="1">
        <f t="array" aca="1" ref="J10" ca="1">IFERROR(_xlfn.XLOOKUP(A10, INDIRECT("'temp_data'!A:A"), INDIRECT("'temp_data'!J:J"), ""), "")</f>
        <v>12</v>
      </c>
      <c r="K10" s="10" cm="1">
        <f t="array" aca="1" ref="K10" ca="1">IFERROR(_xlfn.XLOOKUP(A10, INDIRECT("'temp_data'!A:A"), INDIRECT("'temp_data'!K:K"), ""), "")</f>
        <v>432</v>
      </c>
      <c r="L10" s="10" cm="1">
        <f t="array" aca="1" ref="L10" ca="1">IFERROR(_xlfn.XLOOKUP(A10, INDIRECT("'temp_data'!A:A"), INDIRECT("'temp_data'!L:L"), ""), "")</f>
        <v>0.57999999999999996</v>
      </c>
      <c r="M10" s="10" cm="1">
        <f t="array" aca="1" ref="M10" ca="1">IFERROR(_xlfn.XLOOKUP(A10, INDIRECT("'temp_data'!A:A"), INDIRECT("'temp_data'!M:M"), ""), "")</f>
        <v>2.04</v>
      </c>
      <c r="N10" s="10" cm="1">
        <f t="array" aca="1" ref="N10" ca="1">IFERROR(_xlfn.XLOOKUP(A10, INDIRECT("'temp_data'!A:A"), INDIRECT("'temp_data'!N:N"), ""), "")</f>
        <v>2.62</v>
      </c>
      <c r="O10" s="10" cm="1">
        <f t="array" aca="1" ref="O10" ca="1">IFERROR(_xlfn.XLOOKUP(A10, INDIRECT("'temp_data'!A:A"), INDIRECT("'temp_data'!D:D"), ""), "")</f>
        <v>3.45</v>
      </c>
      <c r="P10" s="11" cm="1">
        <f t="array" aca="1" ref="P10" ca="1">IFERROR(_xlfn.XLOOKUP(A10, INDIRECT("'temp_data'!A:A"), INDIRECT("'temp_data'!E:E"), ""), "")</f>
        <v>13.57</v>
      </c>
      <c r="Q10" s="11" cm="1">
        <f t="array" aca="1" ref="Q10" ca="1">IFERROR(_xlfn.XLOOKUP(A10, INDIRECT("'temp_data'!A:A"), INDIRECT("'temp_data'!F:F"), ""), "")</f>
        <v>4.13</v>
      </c>
      <c r="R10" s="11" cm="1">
        <f t="array" aca="1" ref="R10" ca="1">IFERROR(_xlfn.XLOOKUP(A10, INDIRECT("'temp_data'!A:A"), INDIRECT("'temp_data'!O:O"), ""), "")</f>
        <v>46.8416</v>
      </c>
      <c r="S10" s="11" cm="1">
        <f t="array" aca="1" ref="S10" ca="1">IFERROR(_xlfn.XLOOKUP(A10, INDIRECT("'temp_data'!A:A"), INDIRECT("'temp_data'!Q:Q"), ""), "")</f>
        <v>3.28</v>
      </c>
      <c r="T10" s="10" cm="1">
        <f t="array" aca="1" ref="T10" ca="1">IFERROR(_xlfn.XLOOKUP(A10, INDIRECT("'temp_data'!A:A"), INDIRECT("'temp_data'!P:P"), ""), "")</f>
        <v>14.26</v>
      </c>
      <c r="U10" s="10" cm="1">
        <f t="array" aca="1" ref="U10" ca="1">IFERROR(_xlfn.XLOOKUP(A10, INDIRECT("'temp_data'!A:A"), INDIRECT("'temp_data'!R:R"), ""), "")</f>
        <v>20040</v>
      </c>
      <c r="V10" s="11" cm="1">
        <f t="array" aca="1" ref="V10" ca="1">IFERROR(_xlfn.XLOOKUP(A10, INDIRECT("'temp_data'!A:A"), INDIRECT("'temp_data'!S:S"), ""), "")</f>
        <v>7</v>
      </c>
      <c r="W10" s="11" cm="1">
        <f t="array" aca="1" ref="W10" ca="1">IFERROR(_xlfn.XLOOKUP(A10, INDIRECT("'temp_data'!A:A"), INDIRECT("'temp_data'!T:T"), ""), "")</f>
        <v>1548</v>
      </c>
      <c r="X10" s="11" cm="1">
        <f t="array" aca="1" ref="X10" ca="1">IFERROR(_xlfn.XLOOKUP(A10, INDIRECT("'temp_data'!A:A"), INDIRECT("'temp_data'!U:U"), ""), "")</f>
        <v>15080</v>
      </c>
      <c r="Y10" s="11" cm="1">
        <f t="array" aca="1" ref="Y10" ca="1">IFERROR(_xlfn.XLOOKUP(A10, INDIRECT("'temp_data'!A:A"), INDIRECT("'temp_data'!V:V"), ""), "")</f>
        <v>36675</v>
      </c>
      <c r="Z10" s="10"/>
      <c r="AA10" s="10"/>
    </row>
    <row r="11" spans="1:27" ht="15.3" x14ac:dyDescent="0.55000000000000004">
      <c r="A11" s="7" t="str" cm="1">
        <f t="array" aca="1" ref="A11" ca="1">IF(INDIRECT("'temp_data'!A" &amp; ROW(A9))="","",INDIRECT("'temp_data'!A" &amp; ROW(A9)))</f>
        <v>Audi-2023</v>
      </c>
      <c r="B11" s="8"/>
      <c r="C11" s="7"/>
      <c r="D11" s="7"/>
      <c r="E11" s="7" t="str" cm="1">
        <f t="array" aca="1" ref="E11" ca="1">IFERROR(_xlfn.XLOOKUP(A11, INDIRECT("'temp_data'!A:A"), INDIRECT("'temp_data'!B:B"), ""), "")</f>
        <v>AUDIHAAPDWH3</v>
      </c>
      <c r="F11" s="7" t="str" cm="1">
        <f t="array" aca="1" ref="F11" ca="1">IFERROR(_xlfn.XLOOKUP(A11, INDIRECT("'temp_data'!A:A"), INDIRECT("'temp_data'!G:G"), ""), "")</f>
        <v>IFX_2.1.1</v>
      </c>
      <c r="G11" s="9" t="str" cm="1">
        <f t="array" aca="1" ref="G11" ca="1">IFERROR(_xlfn.XLOOKUP(A11, INDIRECT("'temp_data'!A:A"), INDIRECT("'temp_data'!C:C"), ""), "")</f>
        <v>17.10.03.17</v>
      </c>
      <c r="H11" s="10" cm="1">
        <f t="array" aca="1" ref="H11" ca="1">IFERROR(_xlfn.XLOOKUP(A11, INDIRECT("'temp_data'!A:A"), INDIRECT("'temp_data'!H:H"), ""), "")</f>
        <v>12</v>
      </c>
      <c r="I11" s="10" cm="1">
        <f t="array" aca="1" ref="I11" ca="1">IFERROR(_xlfn.XLOOKUP(A11, INDIRECT("'temp_data'!A:A"), INDIRECT("'temp_data'!I:I"), ""), "")</f>
        <v>288</v>
      </c>
      <c r="J11" s="10" cm="1">
        <f t="array" aca="1" ref="J11" ca="1">IFERROR(_xlfn.XLOOKUP(A11, INDIRECT("'temp_data'!A:A"), INDIRECT("'temp_data'!J:J"), ""), "")</f>
        <v>24</v>
      </c>
      <c r="K11" s="10" cm="1">
        <f t="array" aca="1" ref="K11" ca="1">IFERROR(_xlfn.XLOOKUP(A11, INDIRECT("'temp_data'!A:A"), INDIRECT("'temp_data'!K:K"), ""), "")</f>
        <v>576</v>
      </c>
      <c r="L11" s="10" cm="1">
        <f t="array" aca="1" ref="L11" ca="1">IFERROR(_xlfn.XLOOKUP(A11, INDIRECT("'temp_data'!A:A"), INDIRECT("'temp_data'!L:L"), ""), "")</f>
        <v>4.87</v>
      </c>
      <c r="M11" s="10" cm="1">
        <f t="array" aca="1" ref="M11" ca="1">IFERROR(_xlfn.XLOOKUP(A11, INDIRECT("'temp_data'!A:A"), INDIRECT("'temp_data'!M:M"), ""), "")</f>
        <v>15.59</v>
      </c>
      <c r="N11" s="10" cm="1">
        <f t="array" aca="1" ref="N11" ca="1">IFERROR(_xlfn.XLOOKUP(A11, INDIRECT("'temp_data'!A:A"), INDIRECT("'temp_data'!N:N"), ""), "")</f>
        <v>20.46</v>
      </c>
      <c r="O11" s="10" cm="1">
        <f t="array" aca="1" ref="O11" ca="1">IFERROR(_xlfn.XLOOKUP(A11, INDIRECT("'temp_data'!A:A"), INDIRECT("'temp_data'!D:D"), ""), "")</f>
        <v>3.7</v>
      </c>
      <c r="P11" s="11" cm="1">
        <f t="array" aca="1" ref="P11" ca="1">IFERROR(_xlfn.XLOOKUP(A11, INDIRECT("'temp_data'!A:A"), INDIRECT("'temp_data'!E:E"), ""), "")</f>
        <v>71.2</v>
      </c>
      <c r="Q11" s="11" cm="1">
        <f t="array" aca="1" ref="Q11" ca="1">IFERROR(_xlfn.XLOOKUP(A11, INDIRECT("'temp_data'!A:A"), INDIRECT("'temp_data'!F:F"), ""), "")</f>
        <v>16.55</v>
      </c>
      <c r="R11" s="11" cm="1">
        <f t="array" aca="1" ref="R11" ca="1">IFERROR(_xlfn.XLOOKUP(A11, INDIRECT("'temp_data'!A:A"), INDIRECT("'temp_data'!O:O"), ""), "")</f>
        <v>263.46300000000002</v>
      </c>
      <c r="S11" s="11" cm="1">
        <f t="array" aca="1" ref="S11" ca="1">IFERROR(_xlfn.XLOOKUP(A11, INDIRECT("'temp_data'!A:A"), INDIRECT("'temp_data'!Q:Q"), ""), "")</f>
        <v>4.3</v>
      </c>
      <c r="T11" s="10" cm="1">
        <f t="array" aca="1" ref="T11" ca="1">IFERROR(_xlfn.XLOOKUP(A11, INDIRECT("'temp_data'!A:A"), INDIRECT("'temp_data'!P:P"), ""), "")</f>
        <v>61.25</v>
      </c>
      <c r="U11" s="10" cm="1">
        <f t="array" aca="1" ref="U11" ca="1">IFERROR(_xlfn.XLOOKUP(A11, INDIRECT("'temp_data'!A:A"), INDIRECT("'temp_data'!R:R"), ""), "")</f>
        <v>6912</v>
      </c>
      <c r="V11" s="11" cm="1">
        <f t="array" aca="1" ref="V11" ca="1">IFERROR(_xlfn.XLOOKUP(A11, INDIRECT("'temp_data'!A:A"), INDIRECT("'temp_data'!S:S"), ""), "")</f>
        <v>51</v>
      </c>
      <c r="W11" s="11" cm="1">
        <f t="array" aca="1" ref="W11" ca="1">IFERROR(_xlfn.XLOOKUP(A11, INDIRECT("'temp_data'!A:A"), INDIRECT("'temp_data'!T:T"), ""), "")</f>
        <v>1433</v>
      </c>
      <c r="X11" s="11" cm="1">
        <f t="array" aca="1" ref="X11" ca="1">IFERROR(_xlfn.XLOOKUP(A11, INDIRECT("'temp_data'!A:A"), INDIRECT("'temp_data'!U:U"), ""), "")</f>
        <v>14961</v>
      </c>
      <c r="Y11" s="11" cm="1">
        <f t="array" aca="1" ref="Y11" ca="1">IFERROR(_xlfn.XLOOKUP(A11, INDIRECT("'temp_data'!A:A"), INDIRECT("'temp_data'!V:V"), ""), "")</f>
        <v>23357</v>
      </c>
      <c r="Z11" s="10"/>
      <c r="AA11" s="10"/>
    </row>
    <row r="12" spans="1:27" ht="15.3" x14ac:dyDescent="0.55000000000000004">
      <c r="A12" s="7" t="str" cm="1">
        <f t="array" aca="1" ref="A12" ca="1">IF(INDIRECT("'temp_data'!A" &amp; ROW(A10))="","",INDIRECT("'temp_data'!A" &amp; ROW(A10)))</f>
        <v>CHG0230659</v>
      </c>
      <c r="B12" s="8"/>
      <c r="C12" s="7"/>
      <c r="D12" s="7"/>
      <c r="E12" s="7" t="str" cm="1">
        <f t="array" aca="1" ref="E12" ca="1">IFERROR(_xlfn.XLOOKUP(A12, INDIRECT("'temp_data'!A:A"), INDIRECT("'temp_data'!B:B"), ""), "")</f>
        <v>AUDIHAAPDWH3</v>
      </c>
      <c r="F12" s="7" t="str" cm="1">
        <f t="array" aca="1" ref="F12" ca="1">IFERROR(_xlfn.XLOOKUP(A12, INDIRECT("'temp_data'!A:A"), INDIRECT("'temp_data'!G:G"), ""), "")</f>
        <v>IFX_2.1.1</v>
      </c>
      <c r="G12" s="9" t="str" cm="1">
        <f t="array" aca="1" ref="G12" ca="1">IFERROR(_xlfn.XLOOKUP(A12, INDIRECT("'temp_data'!A:A"), INDIRECT("'temp_data'!C:C"), ""), "")</f>
        <v>17.20.03.33</v>
      </c>
      <c r="H12" s="10" cm="1">
        <f t="array" aca="1" ref="H12" ca="1">IFERROR(_xlfn.XLOOKUP(A12, INDIRECT("'temp_data'!A:A"), INDIRECT("'temp_data'!H:H"), ""), "")</f>
        <v>24</v>
      </c>
      <c r="I12" s="10" cm="1">
        <f t="array" aca="1" ref="I12" ca="1">IFERROR(_xlfn.XLOOKUP(A12, INDIRECT("'temp_data'!A:A"), INDIRECT("'temp_data'!I:I"), ""), "")</f>
        <v>576</v>
      </c>
      <c r="J12" s="10" cm="1">
        <f t="array" aca="1" ref="J12" ca="1">IFERROR(_xlfn.XLOOKUP(A12, INDIRECT("'temp_data'!A:A"), INDIRECT("'temp_data'!J:J"), ""), "")</f>
        <v>36</v>
      </c>
      <c r="K12" s="10" cm="1">
        <f t="array" aca="1" ref="K12" ca="1">IFERROR(_xlfn.XLOOKUP(A12, INDIRECT("'temp_data'!A:A"), INDIRECT("'temp_data'!K:K"), ""), "")</f>
        <v>864</v>
      </c>
      <c r="L12" s="10" cm="1">
        <f t="array" aca="1" ref="L12" ca="1">IFERROR(_xlfn.XLOOKUP(A12, INDIRECT("'temp_data'!A:A"), INDIRECT("'temp_data'!L:L"), ""), "")</f>
        <v>7.91</v>
      </c>
      <c r="M12" s="10" cm="1">
        <f t="array" aca="1" ref="M12" ca="1">IFERROR(_xlfn.XLOOKUP(A12, INDIRECT("'temp_data'!A:A"), INDIRECT("'temp_data'!M:M"), ""), "")</f>
        <v>14.54</v>
      </c>
      <c r="N12" s="10" cm="1">
        <f t="array" aca="1" ref="N12" ca="1">IFERROR(_xlfn.XLOOKUP(A12, INDIRECT("'temp_data'!A:A"), INDIRECT("'temp_data'!N:N"), ""), "")</f>
        <v>22.45</v>
      </c>
      <c r="O12" s="10" cm="1">
        <f t="array" aca="1" ref="O12" ca="1">IFERROR(_xlfn.XLOOKUP(A12, INDIRECT("'temp_data'!A:A"), INDIRECT("'temp_data'!D:D"), ""), "")</f>
        <v>9.1999999999999993</v>
      </c>
      <c r="P12" s="11" cm="1">
        <f t="array" aca="1" ref="P12" ca="1">IFERROR(_xlfn.XLOOKUP(A12, INDIRECT("'temp_data'!A:A"), INDIRECT("'temp_data'!E:E"), ""), "")</f>
        <v>62.3</v>
      </c>
      <c r="Q12" s="11" cm="1">
        <f t="array" aca="1" ref="Q12" ca="1">IFERROR(_xlfn.XLOOKUP(A12, INDIRECT("'temp_data'!A:A"), INDIRECT("'temp_data'!F:F"), ""), "")</f>
        <v>15.46</v>
      </c>
      <c r="R12" s="11" cm="1">
        <f t="array" aca="1" ref="R12" ca="1">IFERROR(_xlfn.XLOOKUP(A12, INDIRECT("'temp_data'!A:A"), INDIRECT("'temp_data'!O:O"), ""), "")</f>
        <v>573.17600000000004</v>
      </c>
      <c r="S12" s="11" cm="1">
        <f t="array" aca="1" ref="S12" ca="1">IFERROR(_xlfn.XLOOKUP(A12, INDIRECT("'temp_data'!A:A"), INDIRECT("'temp_data'!Q:Q"), ""), "")</f>
        <v>4.0199999999999996</v>
      </c>
      <c r="T12" s="10" cm="1">
        <f t="array" aca="1" ref="T12" ca="1">IFERROR(_xlfn.XLOOKUP(A12, INDIRECT("'temp_data'!A:A"), INDIRECT("'temp_data'!P:P"), ""), "")</f>
        <v>142.29</v>
      </c>
      <c r="U12" s="10" cm="1">
        <f t="array" aca="1" ref="U12" ca="1">IFERROR(_xlfn.XLOOKUP(A12, INDIRECT("'temp_data'!A:A"), INDIRECT("'temp_data'!R:R"), ""), "")</f>
        <v>8991</v>
      </c>
      <c r="V12" s="11" cm="1">
        <f t="array" aca="1" ref="V12" ca="1">IFERROR(_xlfn.XLOOKUP(A12, INDIRECT("'temp_data'!A:A"), INDIRECT("'temp_data'!S:S"), ""), "")</f>
        <v>76</v>
      </c>
      <c r="W12" s="11" cm="1">
        <f t="array" aca="1" ref="W12" ca="1">IFERROR(_xlfn.XLOOKUP(A12, INDIRECT("'temp_data'!A:A"), INDIRECT("'temp_data'!T:T"), ""), "")</f>
        <v>1503</v>
      </c>
      <c r="X12" s="11" cm="1">
        <f t="array" aca="1" ref="X12" ca="1">IFERROR(_xlfn.XLOOKUP(A12, INDIRECT("'temp_data'!A:A"), INDIRECT("'temp_data'!U:U"), ""), "")</f>
        <v>13644</v>
      </c>
      <c r="Y12" s="11" cm="1">
        <f t="array" aca="1" ref="Y12" ca="1">IFERROR(_xlfn.XLOOKUP(A12, INDIRECT("'temp_data'!A:A"), INDIRECT("'temp_data'!V:V"), ""), "")</f>
        <v>24214</v>
      </c>
      <c r="Z12" s="10"/>
      <c r="AA12" s="10"/>
    </row>
    <row r="13" spans="1:27" ht="15.3" x14ac:dyDescent="0.55000000000000004">
      <c r="A13" s="7" t="str" cm="1">
        <f t="array" aca="1" ref="A13" ca="1">IF(INDIRECT("'temp_data'!A" &amp; ROW(A11))="","",INDIRECT("'temp_data'!A" &amp; ROW(A11)))</f>
        <v>CHG0219040</v>
      </c>
      <c r="B13" s="8"/>
      <c r="C13" s="7"/>
      <c r="D13" s="7"/>
      <c r="E13" s="7" t="str" cm="1">
        <f t="array" aca="1" ref="E13" ca="1">IFERROR(_xlfn.XLOOKUP(A13, INDIRECT("'temp_data'!A:A"), INDIRECT("'temp_data'!B:B"), ""), "")</f>
        <v>BANGLALINKIFX</v>
      </c>
      <c r="F13" s="7" t="str" cm="1">
        <f t="array" aca="1" ref="F13" ca="1">IFERROR(_xlfn.XLOOKUP(A13, INDIRECT("'temp_data'!A:A"), INDIRECT("'temp_data'!G:G"), ""), "")</f>
        <v>IFX_2.5</v>
      </c>
      <c r="G13" s="9" t="str" cm="1">
        <f t="array" aca="1" ref="G13" ca="1">IFERROR(_xlfn.XLOOKUP(A13, INDIRECT("'temp_data'!A:A"), INDIRECT("'temp_data'!C:C"), ""), "")</f>
        <v>17.20.03.33</v>
      </c>
      <c r="H13" s="10" cm="1">
        <f t="array" aca="1" ref="H13" ca="1">IFERROR(_xlfn.XLOOKUP(A13, INDIRECT("'temp_data'!A:A"), INDIRECT("'temp_data'!H:H"), ""), "")</f>
        <v>6</v>
      </c>
      <c r="I13" s="10" cm="1">
        <f t="array" aca="1" ref="I13" ca="1">IFERROR(_xlfn.XLOOKUP(A13, INDIRECT("'temp_data'!A:A"), INDIRECT("'temp_data'!I:I"), ""), "")</f>
        <v>288</v>
      </c>
      <c r="J13" s="10" cm="1">
        <f t="array" aca="1" ref="J13" ca="1">IFERROR(_xlfn.XLOOKUP(A13, INDIRECT("'temp_data'!A:A"), INDIRECT("'temp_data'!J:J"), ""), "")</f>
        <v>12</v>
      </c>
      <c r="K13" s="10" cm="1">
        <f t="array" aca="1" ref="K13" ca="1">IFERROR(_xlfn.XLOOKUP(A13, INDIRECT("'temp_data'!A:A"), INDIRECT("'temp_data'!K:K"), ""), "")</f>
        <v>576</v>
      </c>
      <c r="L13" s="10" cm="1">
        <f t="array" aca="1" ref="L13" ca="1">IFERROR(_xlfn.XLOOKUP(A13, INDIRECT("'temp_data'!A:A"), INDIRECT("'temp_data'!L:L"), ""), "")</f>
        <v>1.36</v>
      </c>
      <c r="M13" s="10" cm="1">
        <f t="array" aca="1" ref="M13" ca="1">IFERROR(_xlfn.XLOOKUP(A13, INDIRECT("'temp_data'!A:A"), INDIRECT("'temp_data'!M:M"), ""), "")</f>
        <v>13.65</v>
      </c>
      <c r="N13" s="10" cm="1">
        <f t="array" aca="1" ref="N13" ca="1">IFERROR(_xlfn.XLOOKUP(A13, INDIRECT("'temp_data'!A:A"), INDIRECT("'temp_data'!N:N"), ""), "")</f>
        <v>15.01</v>
      </c>
      <c r="O13" s="10" cm="1">
        <f t="array" aca="1" ref="O13" ca="1">IFERROR(_xlfn.XLOOKUP(A13, INDIRECT("'temp_data'!A:A"), INDIRECT("'temp_data'!D:D"), ""), "")</f>
        <v>6.21</v>
      </c>
      <c r="P13" s="11" cm="1">
        <f t="array" aca="1" ref="P13" ca="1">IFERROR(_xlfn.XLOOKUP(A13, INDIRECT("'temp_data'!A:A"), INDIRECT("'temp_data'!E:E"), ""), "")</f>
        <v>36.020000000000003</v>
      </c>
      <c r="Q13" s="11" cm="1">
        <f t="array" aca="1" ref="Q13" ca="1">IFERROR(_xlfn.XLOOKUP(A13, INDIRECT("'temp_data'!A:A"), INDIRECT("'temp_data'!F:F"), ""), "")</f>
        <v>9.5399999999999991</v>
      </c>
      <c r="R13" s="11" cm="1">
        <f t="array" aca="1" ref="R13" ca="1">IFERROR(_xlfn.XLOOKUP(A13, INDIRECT("'temp_data'!A:A"), INDIRECT("'temp_data'!O:O"), ""), "")</f>
        <v>223.68899999999999</v>
      </c>
      <c r="S13" s="11" cm="1">
        <f t="array" aca="1" ref="S13" ca="1">IFERROR(_xlfn.XLOOKUP(A13, INDIRECT("'temp_data'!A:A"), INDIRECT("'temp_data'!Q:Q"), ""), "")</f>
        <v>3.77</v>
      </c>
      <c r="T13" s="10" cm="1">
        <f t="array" aca="1" ref="T13" ca="1">IFERROR(_xlfn.XLOOKUP(A13, INDIRECT("'temp_data'!A:A"), INDIRECT("'temp_data'!P:P"), ""), "")</f>
        <v>59.3</v>
      </c>
      <c r="U13" s="10" cm="1">
        <f t="array" aca="1" ref="U13" ca="1">IFERROR(_xlfn.XLOOKUP(A13, INDIRECT("'temp_data'!A:A"), INDIRECT("'temp_data'!R:R"), ""), "")</f>
        <v>4193</v>
      </c>
      <c r="V13" s="11" cm="1">
        <f t="array" aca="1" ref="V13" ca="1">IFERROR(_xlfn.XLOOKUP(A13, INDIRECT("'temp_data'!A:A"), INDIRECT("'temp_data'!S:S"), ""), "")</f>
        <v>41</v>
      </c>
      <c r="W13" s="11" cm="1">
        <f t="array" aca="1" ref="W13" ca="1">IFERROR(_xlfn.XLOOKUP(A13, INDIRECT("'temp_data'!A:A"), INDIRECT("'temp_data'!T:T"), ""), "")</f>
        <v>1608</v>
      </c>
      <c r="X13" s="11" cm="1">
        <f t="array" aca="1" ref="X13" ca="1">IFERROR(_xlfn.XLOOKUP(A13, INDIRECT("'temp_data'!A:A"), INDIRECT("'temp_data'!U:U"), ""), "")</f>
        <v>8235</v>
      </c>
      <c r="Y13" s="11" cm="1">
        <f t="array" aca="1" ref="Y13" ca="1">IFERROR(_xlfn.XLOOKUP(A13, INDIRECT("'temp_data'!A:A"), INDIRECT("'temp_data'!V:V"), ""), "")</f>
        <v>14077</v>
      </c>
      <c r="Z13" s="10"/>
      <c r="AA13" s="10"/>
    </row>
    <row r="14" spans="1:27" ht="15.3" x14ac:dyDescent="0.55000000000000004">
      <c r="A14" s="7" t="str" cm="1">
        <f t="array" aca="1" ref="A14" ca="1">IF(INDIRECT("'temp_data'!A" &amp; ROW(A12))="","",INDIRECT("'temp_data'!A" &amp; ROW(A12)))</f>
        <v>CHG0239574</v>
      </c>
      <c r="B14" s="8"/>
      <c r="C14" s="7"/>
      <c r="D14" s="7"/>
      <c r="E14" s="7" t="str" cm="1">
        <f t="array" aca="1" ref="E14" ca="1">IFERROR(_xlfn.XLOOKUP(A14, INDIRECT("'temp_data'!A:A"), INDIRECT("'temp_data'!B:B"), ""), "")</f>
        <v>UNICREDA</v>
      </c>
      <c r="F14" s="7" t="str" cm="1">
        <f t="array" aca="1" ref="F14" ca="1">IFERROR(_xlfn.XLOOKUP(A14, INDIRECT("'temp_data'!A:A"), INDIRECT("'temp_data'!G:G"), ""), "")</f>
        <v>IFX_2.1</v>
      </c>
      <c r="G14" s="9" t="str" cm="1">
        <f t="array" aca="1" ref="G14" ca="1">IFERROR(_xlfn.XLOOKUP(A14, INDIRECT("'temp_data'!A:A"), INDIRECT("'temp_data'!C:C"), ""), "")</f>
        <v>17.20.03.35</v>
      </c>
      <c r="H14" s="10" cm="1">
        <f t="array" aca="1" ref="H14" ca="1">IFERROR(_xlfn.XLOOKUP(A14, INDIRECT("'temp_data'!A:A"), INDIRECT("'temp_data'!H:H"), ""), "")</f>
        <v>18</v>
      </c>
      <c r="I14" s="10" cm="1">
        <f t="array" aca="1" ref="I14" ca="1">IFERROR(_xlfn.XLOOKUP(A14, INDIRECT("'temp_data'!A:A"), INDIRECT("'temp_data'!I:I"), ""), "")</f>
        <v>864</v>
      </c>
      <c r="J14" s="10" cm="1">
        <f t="array" aca="1" ref="J14" ca="1">IFERROR(_xlfn.XLOOKUP(A14, INDIRECT("'temp_data'!A:A"), INDIRECT("'temp_data'!J:J"), ""), "")</f>
        <v>24</v>
      </c>
      <c r="K14" s="10" cm="1">
        <f t="array" aca="1" ref="K14" ca="1">IFERROR(_xlfn.XLOOKUP(A14, INDIRECT("'temp_data'!A:A"), INDIRECT("'temp_data'!K:K"), ""), "")</f>
        <v>1152</v>
      </c>
      <c r="L14" s="10" cm="1">
        <f t="array" aca="1" ref="L14" ca="1">IFERROR(_xlfn.XLOOKUP(A14, INDIRECT("'temp_data'!A:A"), INDIRECT("'temp_data'!L:L"), ""), "")</f>
        <v>9.5299999999999994</v>
      </c>
      <c r="M14" s="10" cm="1">
        <f t="array" aca="1" ref="M14" ca="1">IFERROR(_xlfn.XLOOKUP(A14, INDIRECT("'temp_data'!A:A"), INDIRECT("'temp_data'!M:M"), ""), "")</f>
        <v>19.57</v>
      </c>
      <c r="N14" s="10" cm="1">
        <f t="array" aca="1" ref="N14" ca="1">IFERROR(_xlfn.XLOOKUP(A14, INDIRECT("'temp_data'!A:A"), INDIRECT("'temp_data'!N:N"), ""), "")</f>
        <v>29.1</v>
      </c>
      <c r="O14" s="10" cm="1">
        <f t="array" aca="1" ref="O14" ca="1">IFERROR(_xlfn.XLOOKUP(A14, INDIRECT("'temp_data'!A:A"), INDIRECT("'temp_data'!D:D"), ""), "")</f>
        <v>57.28</v>
      </c>
      <c r="P14" s="11" cm="1">
        <f t="array" aca="1" ref="P14" ca="1">IFERROR(_xlfn.XLOOKUP(A14, INDIRECT("'temp_data'!A:A"), INDIRECT("'temp_data'!E:E"), ""), "")</f>
        <v>40.32</v>
      </c>
      <c r="Q14" s="11" cm="1">
        <f t="array" aca="1" ref="Q14" ca="1">IFERROR(_xlfn.XLOOKUP(A14, INDIRECT("'temp_data'!A:A"), INDIRECT("'temp_data'!F:F"), ""), "")</f>
        <v>8.2899999999999991</v>
      </c>
      <c r="R14" s="11" cm="1">
        <f t="array" aca="1" ref="R14" ca="1">IFERROR(_xlfn.XLOOKUP(A14, INDIRECT("'temp_data'!A:A"), INDIRECT("'temp_data'!O:O"), ""), "")</f>
        <v>2310.06</v>
      </c>
      <c r="S14" s="11" cm="1">
        <f t="array" aca="1" ref="S14" ca="1">IFERROR(_xlfn.XLOOKUP(A14, INDIRECT("'temp_data'!A:A"), INDIRECT("'temp_data'!Q:Q"), ""), "")</f>
        <v>4.8600000000000003</v>
      </c>
      <c r="T14" s="10" cm="1">
        <f t="array" aca="1" ref="T14" ca="1">IFERROR(_xlfn.XLOOKUP(A14, INDIRECT("'temp_data'!A:A"), INDIRECT("'temp_data'!P:P"), ""), "")</f>
        <v>475.1</v>
      </c>
      <c r="U14" s="10" cm="1">
        <f t="array" aca="1" ref="U14" ca="1">IFERROR(_xlfn.XLOOKUP(A14, INDIRECT("'temp_data'!A:A"), INDIRECT("'temp_data'!R:R"), ""), "")</f>
        <v>88780</v>
      </c>
      <c r="V14" s="11" cm="1">
        <f t="array" aca="1" ref="V14" ca="1">IFERROR(_xlfn.XLOOKUP(A14, INDIRECT("'temp_data'!A:A"), INDIRECT("'temp_data'!S:S"), ""), "")</f>
        <v>403</v>
      </c>
      <c r="W14" s="11" cm="1">
        <f t="array" aca="1" ref="W14" ca="1">IFERROR(_xlfn.XLOOKUP(A14, INDIRECT("'temp_data'!A:A"), INDIRECT("'temp_data'!T:T"), ""), "")</f>
        <v>11885</v>
      </c>
      <c r="X14" s="11" cm="1">
        <f t="array" aca="1" ref="X14" ca="1">IFERROR(_xlfn.XLOOKUP(A14, INDIRECT("'temp_data'!A:A"), INDIRECT("'temp_data'!U:U"), ""), "")</f>
        <v>76441</v>
      </c>
      <c r="Y14" s="11" cm="1">
        <f t="array" aca="1" ref="Y14" ca="1">IFERROR(_xlfn.XLOOKUP(A14, INDIRECT("'temp_data'!A:A"), INDIRECT("'temp_data'!V:V"), ""), "")</f>
        <v>177528</v>
      </c>
      <c r="Z14" s="10"/>
      <c r="AA14" s="10"/>
    </row>
    <row r="15" spans="1:27" ht="15.3" x14ac:dyDescent="0.55000000000000004">
      <c r="A15" s="7" t="str" cm="1">
        <f t="array" aca="1" ref="A15" ca="1">IF(INDIRECT("'temp_data'!A" &amp; ROW(A13))="","",INDIRECT("'temp_data'!A" &amp; ROW(A13)))</f>
        <v>CHG0235347</v>
      </c>
      <c r="B15" s="8"/>
      <c r="C15" s="7"/>
      <c r="D15" s="7"/>
      <c r="E15" s="7" t="str" cm="1">
        <f t="array" aca="1" ref="E15" ca="1">IFERROR(_xlfn.XLOOKUP(A15, INDIRECT("'temp_data'!A:A"), INDIRECT("'temp_data'!B:B"), ""), "")</f>
        <v>PTMLIFX</v>
      </c>
      <c r="F15" s="7" t="str" cm="1">
        <f t="array" aca="1" ref="F15" ca="1">IFERROR(_xlfn.XLOOKUP(A15, INDIRECT("'temp_data'!A:A"), INDIRECT("'temp_data'!G:G"), ""), "")</f>
        <v>IFX_2.1</v>
      </c>
      <c r="G15" s="9" t="str" cm="1">
        <f t="array" aca="1" ref="G15" ca="1">IFERROR(_xlfn.XLOOKUP(A15, INDIRECT("'temp_data'!A:A"), INDIRECT("'temp_data'!C:C"), ""), "")</f>
        <v>17.10.03.20</v>
      </c>
      <c r="H15" s="10" cm="1">
        <f t="array" aca="1" ref="H15" ca="1">IFERROR(_xlfn.XLOOKUP(A15, INDIRECT("'temp_data'!A:A"), INDIRECT("'temp_data'!H:H"), ""), "")</f>
        <v>6</v>
      </c>
      <c r="I15" s="10" cm="1">
        <f t="array" aca="1" ref="I15" ca="1">IFERROR(_xlfn.XLOOKUP(A15, INDIRECT("'temp_data'!A:A"), INDIRECT("'temp_data'!I:I"), ""), "")</f>
        <v>288</v>
      </c>
      <c r="J15" s="10" cm="1">
        <f t="array" aca="1" ref="J15" ca="1">IFERROR(_xlfn.XLOOKUP(A15, INDIRECT("'temp_data'!A:A"), INDIRECT("'temp_data'!J:J"), ""), "")</f>
        <v>12</v>
      </c>
      <c r="K15" s="10" cm="1">
        <f t="array" aca="1" ref="K15" ca="1">IFERROR(_xlfn.XLOOKUP(A15, INDIRECT("'temp_data'!A:A"), INDIRECT("'temp_data'!K:K"), ""), "")</f>
        <v>576</v>
      </c>
      <c r="L15" s="10" cm="1">
        <f t="array" aca="1" ref="L15" ca="1">IFERROR(_xlfn.XLOOKUP(A15, INDIRECT("'temp_data'!A:A"), INDIRECT("'temp_data'!L:L"), ""), "")</f>
        <v>3.5</v>
      </c>
      <c r="M15" s="10" cm="1">
        <f t="array" aca="1" ref="M15" ca="1">IFERROR(_xlfn.XLOOKUP(A15, INDIRECT("'temp_data'!A:A"), INDIRECT("'temp_data'!M:M"), ""), "")</f>
        <v>20.75</v>
      </c>
      <c r="N15" s="10" cm="1">
        <f t="array" aca="1" ref="N15" ca="1">IFERROR(_xlfn.XLOOKUP(A15, INDIRECT("'temp_data'!A:A"), INDIRECT("'temp_data'!N:N"), ""), "")</f>
        <v>24.25</v>
      </c>
      <c r="O15" s="10" cm="1">
        <f t="array" aca="1" ref="O15" ca="1">IFERROR(_xlfn.XLOOKUP(A15, INDIRECT("'temp_data'!A:A"), INDIRECT("'temp_data'!D:D"), ""), "")</f>
        <v>38.75</v>
      </c>
      <c r="P15" s="11" cm="1">
        <f t="array" aca="1" ref="P15" ca="1">IFERROR(_xlfn.XLOOKUP(A15, INDIRECT("'temp_data'!A:A"), INDIRECT("'temp_data'!E:E"), ""), "")</f>
        <v>15.83</v>
      </c>
      <c r="Q15" s="11" cm="1">
        <f t="array" aca="1" ref="Q15" ca="1">IFERROR(_xlfn.XLOOKUP(A15, INDIRECT("'temp_data'!A:A"), INDIRECT("'temp_data'!F:F"), ""), "")</f>
        <v>4.38</v>
      </c>
      <c r="R15" s="11" cm="1">
        <f t="array" aca="1" ref="R15" ca="1">IFERROR(_xlfn.XLOOKUP(A15, INDIRECT("'temp_data'!A:A"), INDIRECT("'temp_data'!O:O"), ""), "")</f>
        <v>613.53499999999997</v>
      </c>
      <c r="S15" s="11" cm="1">
        <f t="array" aca="1" ref="S15" ca="1">IFERROR(_xlfn.XLOOKUP(A15, INDIRECT("'temp_data'!A:A"), INDIRECT("'temp_data'!Q:Q"), ""), "")</f>
        <v>3.6</v>
      </c>
      <c r="T15" s="10" cm="1">
        <f t="array" aca="1" ref="T15" ca="1">IFERROR(_xlfn.XLOOKUP(A15, INDIRECT("'temp_data'!A:A"), INDIRECT("'temp_data'!P:P"), ""), "")</f>
        <v>170.05</v>
      </c>
      <c r="U15" s="10" cm="1">
        <f t="array" aca="1" ref="U15" ca="1">IFERROR(_xlfn.XLOOKUP(A15, INDIRECT("'temp_data'!A:A"), INDIRECT("'temp_data'!R:R"), ""), "")</f>
        <v>26136</v>
      </c>
      <c r="V15" s="11" cm="1">
        <f t="array" aca="1" ref="V15" ca="1">IFERROR(_xlfn.XLOOKUP(A15, INDIRECT("'temp_data'!A:A"), INDIRECT("'temp_data'!S:S"), ""), "")</f>
        <v>99</v>
      </c>
      <c r="W15" s="11" cm="1">
        <f t="array" aca="1" ref="W15" ca="1">IFERROR(_xlfn.XLOOKUP(A15, INDIRECT("'temp_data'!A:A"), INDIRECT("'temp_data'!T:T"), ""), "")</f>
        <v>6439</v>
      </c>
      <c r="X15" s="11" cm="1">
        <f t="array" aca="1" ref="X15" ca="1">IFERROR(_xlfn.XLOOKUP(A15, INDIRECT("'temp_data'!A:A"), INDIRECT("'temp_data'!U:U"), ""), "")</f>
        <v>53652</v>
      </c>
      <c r="Y15" s="11" cm="1">
        <f t="array" aca="1" ref="Y15" ca="1">IFERROR(_xlfn.XLOOKUP(A15, INDIRECT("'temp_data'!A:A"), INDIRECT("'temp_data'!V:V"), ""), "")</f>
        <v>86326</v>
      </c>
      <c r="Z15" s="10"/>
      <c r="AA15" s="10"/>
    </row>
    <row r="16" spans="1:27" ht="15.3" x14ac:dyDescent="0.55000000000000004">
      <c r="A16" s="7" t="str" cm="1">
        <f t="array" aca="1" ref="A16" ca="1">IF(INDIRECT("'temp_data'!A" &amp; ROW(A14))="","",INDIRECT("'temp_data'!A" &amp; ROW(A14)))</f>
        <v>EGTEL-nocr</v>
      </c>
      <c r="B16" s="8"/>
      <c r="C16" s="7"/>
      <c r="D16" s="7"/>
      <c r="E16" s="7" t="str" cm="1">
        <f t="array" aca="1" ref="E16" ca="1">IFERROR(_xlfn.XLOOKUP(A16, INDIRECT("'temp_data'!A:A"), INDIRECT("'temp_data'!B:B"), ""), "")</f>
        <v>EGTELECOMVNT</v>
      </c>
      <c r="F16" s="7" t="str" cm="1">
        <f t="array" aca="1" ref="F16" ca="1">IFERROR(_xlfn.XLOOKUP(A16, INDIRECT("'temp_data'!A:A"), INDIRECT("'temp_data'!G:G"), ""), "")</f>
        <v>IFX_2.1</v>
      </c>
      <c r="G16" s="9" t="str" cm="1">
        <f t="array" aca="1" ref="G16" ca="1">IFERROR(_xlfn.XLOOKUP(A16, INDIRECT("'temp_data'!A:A"), INDIRECT("'temp_data'!C:C"), ""), "")</f>
        <v>17.10.03.20</v>
      </c>
      <c r="H16" s="10" cm="1">
        <f t="array" aca="1" ref="H16" ca="1">IFERROR(_xlfn.XLOOKUP(A16, INDIRECT("'temp_data'!A:A"), INDIRECT("'temp_data'!H:H"), ""), "")</f>
        <v>6</v>
      </c>
      <c r="I16" s="10" cm="1">
        <f t="array" aca="1" ref="I16" ca="1">IFERROR(_xlfn.XLOOKUP(A16, INDIRECT("'temp_data'!A:A"), INDIRECT("'temp_data'!I:I"), ""), "")</f>
        <v>144</v>
      </c>
      <c r="J16" s="10" cm="1">
        <f t="array" aca="1" ref="J16" ca="1">IFERROR(_xlfn.XLOOKUP(A16, INDIRECT("'temp_data'!A:A"), INDIRECT("'temp_data'!J:J"), ""), "")</f>
        <v>12</v>
      </c>
      <c r="K16" s="10" cm="1">
        <f t="array" aca="1" ref="K16" ca="1">IFERROR(_xlfn.XLOOKUP(A16, INDIRECT("'temp_data'!A:A"), INDIRECT("'temp_data'!K:K"), ""), "")</f>
        <v>288</v>
      </c>
      <c r="L16" s="10" cm="1">
        <f t="array" aca="1" ref="L16" ca="1">IFERROR(_xlfn.XLOOKUP(A16, INDIRECT("'temp_data'!A:A"), INDIRECT("'temp_data'!L:L"), ""), "")</f>
        <v>14.94</v>
      </c>
      <c r="M16" s="10" cm="1">
        <f t="array" aca="1" ref="M16" ca="1">IFERROR(_xlfn.XLOOKUP(A16, INDIRECT("'temp_data'!A:A"), INDIRECT("'temp_data'!M:M"), ""), "")</f>
        <v>66.52</v>
      </c>
      <c r="N16" s="10" cm="1">
        <f t="array" aca="1" ref="N16" ca="1">IFERROR(_xlfn.XLOOKUP(A16, INDIRECT("'temp_data'!A:A"), INDIRECT("'temp_data'!N:N"), ""), "")</f>
        <v>81.459999999999994</v>
      </c>
      <c r="O16" s="10" cm="1">
        <f t="array" aca="1" ref="O16" ca="1">IFERROR(_xlfn.XLOOKUP(A16, INDIRECT("'temp_data'!A:A"), INDIRECT("'temp_data'!D:D"), ""), "")</f>
        <v>36.299999999999997</v>
      </c>
      <c r="P16" s="11" cm="1">
        <f t="array" aca="1" ref="P16" ca="1">IFERROR(_xlfn.XLOOKUP(A16, INDIRECT("'temp_data'!A:A"), INDIRECT("'temp_data'!E:E"), ""), "")</f>
        <v>14.73</v>
      </c>
      <c r="Q16" s="11" cm="1">
        <f t="array" aca="1" ref="Q16" ca="1">IFERROR(_xlfn.XLOOKUP(A16, INDIRECT("'temp_data'!A:A"), INDIRECT("'temp_data'!F:F"), ""), "")</f>
        <v>4.7300000000000004</v>
      </c>
      <c r="R16" s="11" cm="1">
        <f t="array" aca="1" ref="R16" ca="1">IFERROR(_xlfn.XLOOKUP(A16, INDIRECT("'temp_data'!A:A"), INDIRECT("'temp_data'!O:O"), ""), "")</f>
        <v>534.79600000000005</v>
      </c>
      <c r="S16" s="11" cm="1">
        <f t="array" aca="1" ref="S16" ca="1">IFERROR(_xlfn.XLOOKUP(A16, INDIRECT("'temp_data'!A:A"), INDIRECT("'temp_data'!Q:Q"), ""), "")</f>
        <v>3.11</v>
      </c>
      <c r="T16" s="10" cm="1">
        <f t="array" aca="1" ref="T16" ca="1">IFERROR(_xlfn.XLOOKUP(A16, INDIRECT("'temp_data'!A:A"), INDIRECT("'temp_data'!P:P"), ""), "")</f>
        <v>171.85</v>
      </c>
      <c r="U16" s="10" cm="1">
        <f t="array" aca="1" ref="U16" ca="1">IFERROR(_xlfn.XLOOKUP(A16, INDIRECT("'temp_data'!A:A"), INDIRECT("'temp_data'!R:R"), ""), "")</f>
        <v>24600</v>
      </c>
      <c r="V16" s="11" cm="1">
        <f t="array" aca="1" ref="V16" ca="1">IFERROR(_xlfn.XLOOKUP(A16, INDIRECT("'temp_data'!A:A"), INDIRECT("'temp_data'!S:S"), ""), "")</f>
        <v>80</v>
      </c>
      <c r="W16" s="11" cm="1">
        <f t="array" aca="1" ref="W16" ca="1">IFERROR(_xlfn.XLOOKUP(A16, INDIRECT("'temp_data'!A:A"), INDIRECT("'temp_data'!T:T"), ""), "")</f>
        <v>2865</v>
      </c>
      <c r="X16" s="11" cm="1">
        <f t="array" aca="1" ref="X16" ca="1">IFERROR(_xlfn.XLOOKUP(A16, INDIRECT("'temp_data'!A:A"), INDIRECT("'temp_data'!U:U"), ""), "")</f>
        <v>30726</v>
      </c>
      <c r="Y16" s="11" cm="1">
        <f t="array" aca="1" ref="Y16" ca="1">IFERROR(_xlfn.XLOOKUP(A16, INDIRECT("'temp_data'!A:A"), INDIRECT("'temp_data'!V:V"), ""), "")</f>
        <v>58271</v>
      </c>
      <c r="Z16" s="10"/>
      <c r="AA16" s="10"/>
    </row>
    <row r="17" spans="1:27" ht="15.3" x14ac:dyDescent="0.55000000000000004">
      <c r="A17" s="7" t="str" cm="1">
        <f t="array" aca="1" ref="A17" ca="1">IF(INDIRECT("'temp_data'!A" &amp; ROW(A15))="","",INDIRECT("'temp_data'!A" &amp; ROW(A15)))</f>
        <v>CHG0212746</v>
      </c>
      <c r="B17" s="8"/>
      <c r="C17" s="7"/>
      <c r="D17" s="7"/>
      <c r="E17" s="7" t="str" cm="1">
        <f t="array" aca="1" ref="E17" ca="1">IFERROR(_xlfn.XLOOKUP(A17, INDIRECT("'temp_data'!A:A"), INDIRECT("'temp_data'!B:B"), ""), "")</f>
        <v>MOBILY02</v>
      </c>
      <c r="F17" s="7" t="str" cm="1">
        <f t="array" aca="1" ref="F17" ca="1">IFERROR(_xlfn.XLOOKUP(A17, INDIRECT("'temp_data'!A:A"), INDIRECT("'temp_data'!G:G"), ""), "")</f>
        <v>IFX_2.5</v>
      </c>
      <c r="G17" s="9" t="str" cm="1">
        <f t="array" aca="1" ref="G17" ca="1">IFERROR(_xlfn.XLOOKUP(A17, INDIRECT("'temp_data'!A:A"), INDIRECT("'temp_data'!C:C"), ""), "")</f>
        <v>16.20.53.50</v>
      </c>
      <c r="H17" s="10" cm="1">
        <f t="array" aca="1" ref="H17" ca="1">IFERROR(_xlfn.XLOOKUP(A17, INDIRECT("'temp_data'!A:A"), INDIRECT("'temp_data'!H:H"), ""), "")</f>
        <v>12</v>
      </c>
      <c r="I17" s="10" cm="1">
        <f t="array" aca="1" ref="I17" ca="1">IFERROR(_xlfn.XLOOKUP(A17, INDIRECT("'temp_data'!A:A"), INDIRECT("'temp_data'!I:I"), ""), "")</f>
        <v>288</v>
      </c>
      <c r="J17" s="10" cm="1">
        <f t="array" aca="1" ref="J17" ca="1">IFERROR(_xlfn.XLOOKUP(A17, INDIRECT("'temp_data'!A:A"), INDIRECT("'temp_data'!J:J"), ""), "")</f>
        <v>18</v>
      </c>
      <c r="K17" s="10" cm="1">
        <f t="array" aca="1" ref="K17" ca="1">IFERROR(_xlfn.XLOOKUP(A17, INDIRECT("'temp_data'!A:A"), INDIRECT("'temp_data'!K:K"), ""), "")</f>
        <v>432</v>
      </c>
      <c r="L17" s="10" cm="1">
        <f t="array" aca="1" ref="L17" ca="1">IFERROR(_xlfn.XLOOKUP(A17, INDIRECT("'temp_data'!A:A"), INDIRECT("'temp_data'!L:L"), ""), "")</f>
        <v>7.4</v>
      </c>
      <c r="M17" s="10" cm="1">
        <f t="array" aca="1" ref="M17" ca="1">IFERROR(_xlfn.XLOOKUP(A17, INDIRECT("'temp_data'!A:A"), INDIRECT("'temp_data'!M:M"), ""), "")</f>
        <v>35</v>
      </c>
      <c r="N17" s="10" cm="1">
        <f t="array" aca="1" ref="N17" ca="1">IFERROR(_xlfn.XLOOKUP(A17, INDIRECT("'temp_data'!A:A"), INDIRECT("'temp_data'!N:N"), ""), "")</f>
        <v>42.4</v>
      </c>
      <c r="O17" s="10" cm="1">
        <f t="array" aca="1" ref="O17" ca="1">IFERROR(_xlfn.XLOOKUP(A17, INDIRECT("'temp_data'!A:A"), INDIRECT("'temp_data'!D:D"), ""), "")</f>
        <v>19.96</v>
      </c>
      <c r="P17" s="11" cm="1">
        <f t="array" aca="1" ref="P17" ca="1">IFERROR(_xlfn.XLOOKUP(A17, INDIRECT("'temp_data'!A:A"), INDIRECT("'temp_data'!E:E"), ""), "")</f>
        <v>33.36</v>
      </c>
      <c r="Q17" s="11" cm="1">
        <f t="array" aca="1" ref="Q17" ca="1">IFERROR(_xlfn.XLOOKUP(A17, INDIRECT("'temp_data'!A:A"), INDIRECT("'temp_data'!F:F"), ""), "")</f>
        <v>8.02</v>
      </c>
      <c r="R17" s="11" cm="1">
        <f t="array" aca="1" ref="R17" ca="1">IFERROR(_xlfn.XLOOKUP(A17, INDIRECT("'temp_data'!A:A"), INDIRECT("'temp_data'!O:O"), ""), "")</f>
        <v>665.88800000000003</v>
      </c>
      <c r="S17" s="11" cm="1">
        <f t="array" aca="1" ref="S17" ca="1">IFERROR(_xlfn.XLOOKUP(A17, INDIRECT("'temp_data'!A:A"), INDIRECT("'temp_data'!Q:Q"), ""), "")</f>
        <v>4.1500000000000004</v>
      </c>
      <c r="T17" s="10" cm="1">
        <f t="array" aca="1" ref="T17" ca="1">IFERROR(_xlfn.XLOOKUP(A17, INDIRECT("'temp_data'!A:A"), INDIRECT("'temp_data'!P:P"), ""), "")</f>
        <v>160.24</v>
      </c>
      <c r="U17" s="10" cm="1">
        <f t="array" aca="1" ref="U17" ca="1">IFERROR(_xlfn.XLOOKUP(A17, INDIRECT("'temp_data'!A:A"), INDIRECT("'temp_data'!R:R"), ""), "")</f>
        <v>196587</v>
      </c>
      <c r="V17" s="11" cm="1">
        <f t="array" aca="1" ref="V17" ca="1">IFERROR(_xlfn.XLOOKUP(A17, INDIRECT("'temp_data'!A:A"), INDIRECT("'temp_data'!S:S"), ""), "")</f>
        <v>129</v>
      </c>
      <c r="W17" s="11" cm="1">
        <f t="array" aca="1" ref="W17" ca="1">IFERROR(_xlfn.XLOOKUP(A17, INDIRECT("'temp_data'!A:A"), INDIRECT("'temp_data'!T:T"), ""), "")</f>
        <v>6375</v>
      </c>
      <c r="X17" s="11" cm="1">
        <f t="array" aca="1" ref="X17" ca="1">IFERROR(_xlfn.XLOOKUP(A17, INDIRECT("'temp_data'!A:A"), INDIRECT("'temp_data'!U:U"), ""), "")</f>
        <v>46689</v>
      </c>
      <c r="Y17" s="11" cm="1">
        <f t="array" aca="1" ref="Y17" ca="1">IFERROR(_xlfn.XLOOKUP(A17, INDIRECT("'temp_data'!A:A"), INDIRECT("'temp_data'!V:V"), ""), "")</f>
        <v>249780</v>
      </c>
      <c r="Z17" s="10"/>
      <c r="AA17" s="10"/>
    </row>
    <row r="18" spans="1:27" ht="15.3" x14ac:dyDescent="0.55000000000000004">
      <c r="A18" s="7" t="str" cm="1">
        <f t="array" aca="1" ref="A18" ca="1">IF(INDIRECT("'temp_data'!A" &amp; ROW(A16))="","",INDIRECT("'temp_data'!A" &amp; ROW(A16)))</f>
        <v>CHG0249895</v>
      </c>
      <c r="B18" s="8"/>
      <c r="C18" s="7"/>
      <c r="D18" s="7"/>
      <c r="E18" s="7" t="str" cm="1">
        <f t="array" aca="1" ref="E18" ca="1">IFERROR(_xlfn.XLOOKUP(A18, INDIRECT("'temp_data'!A:A"), INDIRECT("'temp_data'!B:B"), ""), "")</f>
        <v>MOBILY02</v>
      </c>
      <c r="F18" s="7" t="str" cm="1">
        <f t="array" aca="1" ref="F18" ca="1">IFERROR(_xlfn.XLOOKUP(A18, INDIRECT("'temp_data'!A:A"), INDIRECT("'temp_data'!G:G"), ""), "")</f>
        <v>IFX_2.5</v>
      </c>
      <c r="G18" s="9" t="str" cm="1">
        <f t="array" aca="1" ref="G18" ca="1">IFERROR(_xlfn.XLOOKUP(A18, INDIRECT("'temp_data'!A:A"), INDIRECT("'temp_data'!C:C"), ""), "")</f>
        <v>16.20.53.57</v>
      </c>
      <c r="H18" s="10" cm="1">
        <f t="array" aca="1" ref="H18" ca="1">IFERROR(_xlfn.XLOOKUP(A18, INDIRECT("'temp_data'!A:A"), INDIRECT("'temp_data'!H:H"), ""), "")</f>
        <v>18</v>
      </c>
      <c r="I18" s="10" cm="1">
        <f t="array" aca="1" ref="I18" ca="1">IFERROR(_xlfn.XLOOKUP(A18, INDIRECT("'temp_data'!A:A"), INDIRECT("'temp_data'!I:I"), ""), "")</f>
        <v>432</v>
      </c>
      <c r="J18" s="10" cm="1">
        <f t="array" aca="1" ref="J18" ca="1">IFERROR(_xlfn.XLOOKUP(A18, INDIRECT("'temp_data'!A:A"), INDIRECT("'temp_data'!J:J"), ""), "")</f>
        <v>30</v>
      </c>
      <c r="K18" s="10" cm="1">
        <f t="array" aca="1" ref="K18" ca="1">IFERROR(_xlfn.XLOOKUP(A18, INDIRECT("'temp_data'!A:A"), INDIRECT("'temp_data'!K:K"), ""), "")</f>
        <v>720</v>
      </c>
      <c r="L18" s="10" cm="1">
        <f t="array" aca="1" ref="L18" ca="1">IFERROR(_xlfn.XLOOKUP(A18, INDIRECT("'temp_data'!A:A"), INDIRECT("'temp_data'!L:L"), ""), "")</f>
        <v>10.8</v>
      </c>
      <c r="M18" s="10" cm="1">
        <f t="array" aca="1" ref="M18" ca="1">IFERROR(_xlfn.XLOOKUP(A18, INDIRECT("'temp_data'!A:A"), INDIRECT("'temp_data'!M:M"), ""), "")</f>
        <v>31.99</v>
      </c>
      <c r="N18" s="10" cm="1">
        <f t="array" aca="1" ref="N18" ca="1">IFERROR(_xlfn.XLOOKUP(A18, INDIRECT("'temp_data'!A:A"), INDIRECT("'temp_data'!N:N"), ""), "")</f>
        <v>42.79</v>
      </c>
      <c r="O18" s="10" cm="1">
        <f t="array" aca="1" ref="O18" ca="1">IFERROR(_xlfn.XLOOKUP(A18, INDIRECT("'temp_data'!A:A"), INDIRECT("'temp_data'!D:D"), ""), "")</f>
        <v>20</v>
      </c>
      <c r="P18" s="11" cm="1">
        <f t="array" aca="1" ref="P18" ca="1">IFERROR(_xlfn.XLOOKUP(A18, INDIRECT("'temp_data'!A:A"), INDIRECT("'temp_data'!E:E"), ""), "")</f>
        <v>42.99</v>
      </c>
      <c r="Q18" s="11" cm="1">
        <f t="array" aca="1" ref="Q18" ca="1">IFERROR(_xlfn.XLOOKUP(A18, INDIRECT("'temp_data'!A:A"), INDIRECT("'temp_data'!F:F"), ""), "")</f>
        <v>9.64</v>
      </c>
      <c r="R18" s="11" cm="1">
        <f t="array" aca="1" ref="R18" ca="1">IFERROR(_xlfn.XLOOKUP(A18, INDIRECT("'temp_data'!A:A"), INDIRECT("'temp_data'!O:O"), ""), "")</f>
        <v>859.851</v>
      </c>
      <c r="S18" s="11" cm="1">
        <f t="array" aca="1" ref="S18" ca="1">IFERROR(_xlfn.XLOOKUP(A18, INDIRECT("'temp_data'!A:A"), INDIRECT("'temp_data'!Q:Q"), ""), "")</f>
        <v>4.45</v>
      </c>
      <c r="T18" s="10" cm="1">
        <f t="array" aca="1" ref="T18" ca="1">IFERROR(_xlfn.XLOOKUP(A18, INDIRECT("'temp_data'!A:A"), INDIRECT("'temp_data'!P:P"), ""), "")</f>
        <v>192.93</v>
      </c>
      <c r="U18" s="10" cm="1">
        <f t="array" aca="1" ref="U18" ca="1">IFERROR(_xlfn.XLOOKUP(A18, INDIRECT("'temp_data'!A:A"), INDIRECT("'temp_data'!R:R"), ""), "")</f>
        <v>196624</v>
      </c>
      <c r="V18" s="11" cm="1">
        <f t="array" aca="1" ref="V18" ca="1">IFERROR(_xlfn.XLOOKUP(A18, INDIRECT("'temp_data'!A:A"), INDIRECT("'temp_data'!S:S"), ""), "")</f>
        <v>168</v>
      </c>
      <c r="W18" s="11" cm="1">
        <f t="array" aca="1" ref="W18" ca="1">IFERROR(_xlfn.XLOOKUP(A18, INDIRECT("'temp_data'!A:A"), INDIRECT("'temp_data'!T:T"), ""), "")</f>
        <v>7517</v>
      </c>
      <c r="X18" s="11" cm="1">
        <f t="array" aca="1" ref="X18" ca="1">IFERROR(_xlfn.XLOOKUP(A18, INDIRECT("'temp_data'!A:A"), INDIRECT("'temp_data'!U:U"), ""), "")</f>
        <v>46675</v>
      </c>
      <c r="Y18" s="11" cm="1">
        <f t="array" aca="1" ref="Y18" ca="1">IFERROR(_xlfn.XLOOKUP(A18, INDIRECT("'temp_data'!A:A"), INDIRECT("'temp_data'!V:V"), ""), "")</f>
        <v>250984</v>
      </c>
      <c r="Z18" s="10"/>
      <c r="AA18" s="10"/>
    </row>
    <row r="19" spans="1:27" ht="15.3" x14ac:dyDescent="0.55000000000000004">
      <c r="A19" s="7" t="str" cm="1">
        <f t="array" aca="1" ref="A19" ca="1">IF(INDIRECT("'temp_data'!A" &amp; ROW(A17))="","",INDIRECT("'temp_data'!A" &amp; ROW(A17)))</f>
        <v>CHG0184271</v>
      </c>
      <c r="B19" s="8"/>
      <c r="C19" s="7"/>
      <c r="D19" s="7"/>
      <c r="E19" s="7" t="str" cm="1">
        <f t="array" aca="1" ref="E19" ca="1">IFERROR(_xlfn.XLOOKUP(A19, INDIRECT("'temp_data'!A:A"), INDIRECT("'temp_data'!B:B"), ""), "")</f>
        <v>SBPDRIFX</v>
      </c>
      <c r="F19" s="7" t="str" cm="1">
        <f t="array" aca="1" ref="F19" ca="1">IFERROR(_xlfn.XLOOKUP(A19, INDIRECT("'temp_data'!A:A"), INDIRECT("'temp_data'!G:G"), ""), "")</f>
        <v>IFX_2.1</v>
      </c>
      <c r="G19" s="9" t="str" cm="1">
        <f t="array" aca="1" ref="G19" ca="1">IFERROR(_xlfn.XLOOKUP(A19, INDIRECT("'temp_data'!A:A"), INDIRECT("'temp_data'!C:C"), ""), "")</f>
        <v>17.10.03.31</v>
      </c>
      <c r="H19" s="10" cm="1">
        <f t="array" aca="1" ref="H19" ca="1">IFERROR(_xlfn.XLOOKUP(A19, INDIRECT("'temp_data'!A:A"), INDIRECT("'temp_data'!H:H"), ""), "")</f>
        <v>6</v>
      </c>
      <c r="I19" s="10" cm="1">
        <f t="array" aca="1" ref="I19" ca="1">IFERROR(_xlfn.XLOOKUP(A19, INDIRECT("'temp_data'!A:A"), INDIRECT("'temp_data'!I:I"), ""), "")</f>
        <v>288</v>
      </c>
      <c r="J19" s="10" cm="1">
        <f t="array" aca="1" ref="J19" ca="1">IFERROR(_xlfn.XLOOKUP(A19, INDIRECT("'temp_data'!A:A"), INDIRECT("'temp_data'!J:J"), ""), "")</f>
        <v>12</v>
      </c>
      <c r="K19" s="10" cm="1">
        <f t="array" aca="1" ref="K19" ca="1">IFERROR(_xlfn.XLOOKUP(A19, INDIRECT("'temp_data'!A:A"), INDIRECT("'temp_data'!K:K"), ""), "")</f>
        <v>576</v>
      </c>
      <c r="L19" s="10" cm="1">
        <f t="array" aca="1" ref="L19" ca="1">IFERROR(_xlfn.XLOOKUP(A19, INDIRECT("'temp_data'!A:A"), INDIRECT("'temp_data'!L:L"), ""), "")</f>
        <v>2.25</v>
      </c>
      <c r="M19" s="10" cm="1">
        <f t="array" aca="1" ref="M19" ca="1">IFERROR(_xlfn.XLOOKUP(A19, INDIRECT("'temp_data'!A:A"), INDIRECT("'temp_data'!M:M"), ""), "")</f>
        <v>10.56</v>
      </c>
      <c r="N19" s="10" cm="1">
        <f t="array" aca="1" ref="N19" ca="1">IFERROR(_xlfn.XLOOKUP(A19, INDIRECT("'temp_data'!A:A"), INDIRECT("'temp_data'!N:N"), ""), "")</f>
        <v>12.81</v>
      </c>
      <c r="O19" s="10" cm="1">
        <f t="array" aca="1" ref="O19" ca="1">IFERROR(_xlfn.XLOOKUP(A19, INDIRECT("'temp_data'!A:A"), INDIRECT("'temp_data'!D:D"), ""), "")</f>
        <v>13.23</v>
      </c>
      <c r="P19" s="11" cm="1">
        <f t="array" aca="1" ref="P19" ca="1">IFERROR(_xlfn.XLOOKUP(A19, INDIRECT("'temp_data'!A:A"), INDIRECT("'temp_data'!E:E"), ""), "")</f>
        <v>25.4</v>
      </c>
      <c r="Q19" s="11" cm="1">
        <f t="array" aca="1" ref="Q19" ca="1">IFERROR(_xlfn.XLOOKUP(A19, INDIRECT("'temp_data'!A:A"), INDIRECT("'temp_data'!F:F"), ""), "")</f>
        <v>8.31</v>
      </c>
      <c r="R19" s="11" cm="1">
        <f t="array" aca="1" ref="R19" ca="1">IFERROR(_xlfn.XLOOKUP(A19, INDIRECT("'temp_data'!A:A"), INDIRECT("'temp_data'!O:O"), ""), "")</f>
        <v>336.13</v>
      </c>
      <c r="S19" s="11" cm="1">
        <f t="array" aca="1" ref="S19" ca="1">IFERROR(_xlfn.XLOOKUP(A19, INDIRECT("'temp_data'!A:A"), INDIRECT("'temp_data'!Q:Q"), ""), "")</f>
        <v>3.05</v>
      </c>
      <c r="T19" s="10" cm="1">
        <f t="array" aca="1" ref="T19" ca="1">IFERROR(_xlfn.XLOOKUP(A19, INDIRECT("'temp_data'!A:A"), INDIRECT("'temp_data'!P:P"), ""), "")</f>
        <v>120.02</v>
      </c>
      <c r="U19" s="10" cm="1">
        <f t="array" aca="1" ref="U19" ca="1">IFERROR(_xlfn.XLOOKUP(A19, INDIRECT("'temp_data'!A:A"), INDIRECT("'temp_data'!R:R"), ""), "")</f>
        <v>5121</v>
      </c>
      <c r="V19" s="11" cm="1">
        <f t="array" aca="1" ref="V19" ca="1">IFERROR(_xlfn.XLOOKUP(A19, INDIRECT("'temp_data'!A:A"), INDIRECT("'temp_data'!S:S"), ""), "")</f>
        <v>58</v>
      </c>
      <c r="W19" s="11" cm="1">
        <f t="array" aca="1" ref="W19" ca="1">IFERROR(_xlfn.XLOOKUP(A19, INDIRECT("'temp_data'!A:A"), INDIRECT("'temp_data'!T:T"), ""), "")</f>
        <v>2702</v>
      </c>
      <c r="X19" s="11" cm="1">
        <f t="array" aca="1" ref="X19" ca="1">IFERROR(_xlfn.XLOOKUP(A19, INDIRECT("'temp_data'!A:A"), INDIRECT("'temp_data'!U:U"), ""), "")</f>
        <v>13568</v>
      </c>
      <c r="Y19" s="11" cm="1">
        <f t="array" aca="1" ref="Y19" ca="1">IFERROR(_xlfn.XLOOKUP(A19, INDIRECT("'temp_data'!A:A"), INDIRECT("'temp_data'!V:V"), ""), "")</f>
        <v>21449</v>
      </c>
      <c r="Z19" s="10"/>
      <c r="AA19" s="10"/>
    </row>
    <row r="20" spans="1:27" ht="15.3" x14ac:dyDescent="0.55000000000000004">
      <c r="A20" s="7" t="str" cm="1">
        <f t="array" aca="1" ref="A20" ca="1">IF(INDIRECT("'temp_data'!A" &amp; ROW(A18))="","",INDIRECT("'temp_data'!A" &amp; ROW(A18)))</f>
        <v>CHG0249895</v>
      </c>
      <c r="B20" s="8"/>
      <c r="C20" s="7"/>
      <c r="D20" s="7"/>
      <c r="E20" s="7" t="str" cm="1">
        <f t="array" aca="1" ref="E20" ca="1">IFERROR(_xlfn.XLOOKUP(A20, INDIRECT("'temp_data'!A:A"), INDIRECT("'temp_data'!B:B"), ""), "")</f>
        <v>MOBILY02</v>
      </c>
      <c r="F20" s="7" t="str" cm="1">
        <f t="array" aca="1" ref="F20" ca="1">IFERROR(_xlfn.XLOOKUP(A20, INDIRECT("'temp_data'!A:A"), INDIRECT("'temp_data'!G:G"), ""), "")</f>
        <v>IFX_2.5</v>
      </c>
      <c r="G20" s="9" t="str" cm="1">
        <f t="array" aca="1" ref="G20" ca="1">IFERROR(_xlfn.XLOOKUP(A20, INDIRECT("'temp_data'!A:A"), INDIRECT("'temp_data'!C:C"), ""), "")</f>
        <v>16.20.53.57</v>
      </c>
      <c r="H20" s="10" cm="1">
        <f t="array" aca="1" ref="H20" ca="1">IFERROR(_xlfn.XLOOKUP(A20, INDIRECT("'temp_data'!A:A"), INDIRECT("'temp_data'!H:H"), ""), "")</f>
        <v>18</v>
      </c>
      <c r="I20" s="10" cm="1">
        <f t="array" aca="1" ref="I20" ca="1">IFERROR(_xlfn.XLOOKUP(A20, INDIRECT("'temp_data'!A:A"), INDIRECT("'temp_data'!I:I"), ""), "")</f>
        <v>432</v>
      </c>
      <c r="J20" s="10" cm="1">
        <f t="array" aca="1" ref="J20" ca="1">IFERROR(_xlfn.XLOOKUP(A20, INDIRECT("'temp_data'!A:A"), INDIRECT("'temp_data'!J:J"), ""), "")</f>
        <v>30</v>
      </c>
      <c r="K20" s="10" cm="1">
        <f t="array" aca="1" ref="K20" ca="1">IFERROR(_xlfn.XLOOKUP(A20, INDIRECT("'temp_data'!A:A"), INDIRECT("'temp_data'!K:K"), ""), "")</f>
        <v>720</v>
      </c>
      <c r="L20" s="10" cm="1">
        <f t="array" aca="1" ref="L20" ca="1">IFERROR(_xlfn.XLOOKUP(A20, INDIRECT("'temp_data'!A:A"), INDIRECT("'temp_data'!L:L"), ""), "")</f>
        <v>10.8</v>
      </c>
      <c r="M20" s="10" cm="1">
        <f t="array" aca="1" ref="M20" ca="1">IFERROR(_xlfn.XLOOKUP(A20, INDIRECT("'temp_data'!A:A"), INDIRECT("'temp_data'!M:M"), ""), "")</f>
        <v>31.99</v>
      </c>
      <c r="N20" s="10" cm="1">
        <f t="array" aca="1" ref="N20" ca="1">IFERROR(_xlfn.XLOOKUP(A20, INDIRECT("'temp_data'!A:A"), INDIRECT("'temp_data'!N:N"), ""), "")</f>
        <v>42.79</v>
      </c>
      <c r="O20" s="10" cm="1">
        <f t="array" aca="1" ref="O20" ca="1">IFERROR(_xlfn.XLOOKUP(A20, INDIRECT("'temp_data'!A:A"), INDIRECT("'temp_data'!D:D"), ""), "")</f>
        <v>20</v>
      </c>
      <c r="P20" s="11" cm="1">
        <f t="array" aca="1" ref="P20" ca="1">IFERROR(_xlfn.XLOOKUP(A20, INDIRECT("'temp_data'!A:A"), INDIRECT("'temp_data'!E:E"), ""), "")</f>
        <v>42.99</v>
      </c>
      <c r="Q20" s="11" cm="1">
        <f t="array" aca="1" ref="Q20" ca="1">IFERROR(_xlfn.XLOOKUP(A20, INDIRECT("'temp_data'!A:A"), INDIRECT("'temp_data'!F:F"), ""), "")</f>
        <v>9.64</v>
      </c>
      <c r="R20" s="11" cm="1">
        <f t="array" aca="1" ref="R20" ca="1">IFERROR(_xlfn.XLOOKUP(A20, INDIRECT("'temp_data'!A:A"), INDIRECT("'temp_data'!O:O"), ""), "")</f>
        <v>859.851</v>
      </c>
      <c r="S20" s="11" cm="1">
        <f t="array" aca="1" ref="S20" ca="1">IFERROR(_xlfn.XLOOKUP(A20, INDIRECT("'temp_data'!A:A"), INDIRECT("'temp_data'!Q:Q"), ""), "")</f>
        <v>4.45</v>
      </c>
      <c r="T20" s="10" cm="1">
        <f t="array" aca="1" ref="T20" ca="1">IFERROR(_xlfn.XLOOKUP(A20, INDIRECT("'temp_data'!A:A"), INDIRECT("'temp_data'!P:P"), ""), "")</f>
        <v>192.93</v>
      </c>
      <c r="U20" s="10" cm="1">
        <f t="array" aca="1" ref="U20" ca="1">IFERROR(_xlfn.XLOOKUP(A20, INDIRECT("'temp_data'!A:A"), INDIRECT("'temp_data'!R:R"), ""), "")</f>
        <v>196624</v>
      </c>
      <c r="V20" s="11" cm="1">
        <f t="array" aca="1" ref="V20" ca="1">IFERROR(_xlfn.XLOOKUP(A20, INDIRECT("'temp_data'!A:A"), INDIRECT("'temp_data'!S:S"), ""), "")</f>
        <v>168</v>
      </c>
      <c r="W20" s="11" cm="1">
        <f t="array" aca="1" ref="W20" ca="1">IFERROR(_xlfn.XLOOKUP(A20, INDIRECT("'temp_data'!A:A"), INDIRECT("'temp_data'!T:T"), ""), "")</f>
        <v>7517</v>
      </c>
      <c r="X20" s="11" cm="1">
        <f t="array" aca="1" ref="X20" ca="1">IFERROR(_xlfn.XLOOKUP(A20, INDIRECT("'temp_data'!A:A"), INDIRECT("'temp_data'!U:U"), ""), "")</f>
        <v>46675</v>
      </c>
      <c r="Y20" s="11" cm="1">
        <f t="array" aca="1" ref="Y20" ca="1">IFERROR(_xlfn.XLOOKUP(A20, INDIRECT("'temp_data'!A:A"), INDIRECT("'temp_data'!V:V"), ""), "")</f>
        <v>250984</v>
      </c>
      <c r="Z20" s="10"/>
      <c r="AA20" s="10"/>
    </row>
    <row r="21" spans="1:27" ht="15.3" x14ac:dyDescent="0.55000000000000004">
      <c r="A21" s="7" t="str" cm="1">
        <f t="array" aca="1" ref="A21" ca="1">IF(INDIRECT("'temp_data'!A" &amp; ROW(A19))="","",INDIRECT("'temp_data'!A" &amp; ROW(A19)))</f>
        <v>CHG0234888</v>
      </c>
      <c r="B21" s="8"/>
      <c r="C21" s="7"/>
      <c r="D21" s="7"/>
      <c r="E21" s="7" t="str" cm="1">
        <f t="array" aca="1" ref="E21" ca="1">IFERROR(_xlfn.XLOOKUP(A21, INDIRECT("'temp_data'!A:A"), INDIRECT("'temp_data'!B:B"), ""), "")</f>
        <v>STC04</v>
      </c>
      <c r="F21" s="7" t="str" cm="1">
        <f t="array" aca="1" ref="F21" ca="1">IFERROR(_xlfn.XLOOKUP(A21, INDIRECT("'temp_data'!A:A"), INDIRECT("'temp_data'!G:G"), ""), "")</f>
        <v>IFX_2.1</v>
      </c>
      <c r="G21" s="9" t="str" cm="1">
        <f t="array" aca="1" ref="G21" ca="1">IFERROR(_xlfn.XLOOKUP(A21, INDIRECT("'temp_data'!A:A"), INDIRECT("'temp_data'!C:C"), ""), "")</f>
        <v>16.20.53.39</v>
      </c>
      <c r="H21" s="10" cm="1">
        <f t="array" aca="1" ref="H21" ca="1">IFERROR(_xlfn.XLOOKUP(A21, INDIRECT("'temp_data'!A:A"), INDIRECT("'temp_data'!H:H"), ""), "")</f>
        <v>24</v>
      </c>
      <c r="I21" s="10" cm="1">
        <f t="array" aca="1" ref="I21" ca="1">IFERROR(_xlfn.XLOOKUP(A21, INDIRECT("'temp_data'!A:A"), INDIRECT("'temp_data'!I:I"), ""), "")</f>
        <v>1152</v>
      </c>
      <c r="J21" s="10" cm="1">
        <f t="array" aca="1" ref="J21" ca="1">IFERROR(_xlfn.XLOOKUP(A21, INDIRECT("'temp_data'!A:A"), INDIRECT("'temp_data'!J:J"), ""), "")</f>
        <v>30</v>
      </c>
      <c r="K21" s="10" cm="1">
        <f t="array" aca="1" ref="K21" ca="1">IFERROR(_xlfn.XLOOKUP(A21, INDIRECT("'temp_data'!A:A"), INDIRECT("'temp_data'!K:K"), ""), "")</f>
        <v>1440</v>
      </c>
      <c r="L21" s="10" cm="1">
        <f t="array" aca="1" ref="L21" ca="1">IFERROR(_xlfn.XLOOKUP(A21, INDIRECT("'temp_data'!A:A"), INDIRECT("'temp_data'!L:L"), ""), "")</f>
        <v>4.93</v>
      </c>
      <c r="M21" s="10" cm="1">
        <f t="array" aca="1" ref="M21" ca="1">IFERROR(_xlfn.XLOOKUP(A21, INDIRECT("'temp_data'!A:A"), INDIRECT("'temp_data'!M:M"), ""), "")</f>
        <v>7.58</v>
      </c>
      <c r="N21" s="10" cm="1">
        <f t="array" aca="1" ref="N21" ca="1">IFERROR(_xlfn.XLOOKUP(A21, INDIRECT("'temp_data'!A:A"), INDIRECT("'temp_data'!N:N"), ""), "")</f>
        <v>12.51</v>
      </c>
      <c r="O21" s="10" cm="1">
        <f t="array" aca="1" ref="O21" ca="1">IFERROR(_xlfn.XLOOKUP(A21, INDIRECT("'temp_data'!A:A"), INDIRECT("'temp_data'!D:D"), ""), "")</f>
        <v>50</v>
      </c>
      <c r="P21" s="11" cm="1">
        <f t="array" aca="1" ref="P21" ca="1">IFERROR(_xlfn.XLOOKUP(A21, INDIRECT("'temp_data'!A:A"), INDIRECT("'temp_data'!E:E"), ""), "")</f>
        <v>23.87</v>
      </c>
      <c r="Q21" s="11" cm="1">
        <f t="array" aca="1" ref="Q21" ca="1">IFERROR(_xlfn.XLOOKUP(A21, INDIRECT("'temp_data'!A:A"), INDIRECT("'temp_data'!F:F"), ""), "")</f>
        <v>7.34</v>
      </c>
      <c r="R21" s="11" cm="1">
        <f t="array" aca="1" ref="R21" ca="1">IFERROR(_xlfn.XLOOKUP(A21, INDIRECT("'temp_data'!A:A"), INDIRECT("'temp_data'!O:O"), ""), "")</f>
        <v>1193.55</v>
      </c>
      <c r="S21" s="11" cm="1">
        <f t="array" aca="1" ref="S21" ca="1">IFERROR(_xlfn.XLOOKUP(A21, INDIRECT("'temp_data'!A:A"), INDIRECT("'temp_data'!Q:Q"), ""), "")</f>
        <v>3.25</v>
      </c>
      <c r="T21" s="10" cm="1">
        <f t="array" aca="1" ref="T21" ca="1">IFERROR(_xlfn.XLOOKUP(A21, INDIRECT("'temp_data'!A:A"), INDIRECT("'temp_data'!P:P"), ""), "")</f>
        <v>367.07</v>
      </c>
      <c r="U21" s="10" cm="1">
        <f t="array" aca="1" ref="U21" ca="1">IFERROR(_xlfn.XLOOKUP(A21, INDIRECT("'temp_data'!A:A"), INDIRECT("'temp_data'!R:R"), ""), "")</f>
        <v>45948</v>
      </c>
      <c r="V21" s="11" cm="1">
        <f t="array" aca="1" ref="V21" ca="1">IFERROR(_xlfn.XLOOKUP(A21, INDIRECT("'temp_data'!A:A"), INDIRECT("'temp_data'!S:S"), ""), "")</f>
        <v>177</v>
      </c>
      <c r="W21" s="11" cm="1">
        <f t="array" aca="1" ref="W21" ca="1">IFERROR(_xlfn.XLOOKUP(A21, INDIRECT("'temp_data'!A:A"), INDIRECT("'temp_data'!T:T"), ""), "")</f>
        <v>10504</v>
      </c>
      <c r="X21" s="11" cm="1">
        <f t="array" aca="1" ref="X21" ca="1">IFERROR(_xlfn.XLOOKUP(A21, INDIRECT("'temp_data'!A:A"), INDIRECT("'temp_data'!U:U"), ""), "")</f>
        <v>71099</v>
      </c>
      <c r="Y21" s="11" cm="1">
        <f t="array" aca="1" ref="Y21" ca="1">IFERROR(_xlfn.XLOOKUP(A21, INDIRECT("'temp_data'!A:A"), INDIRECT("'temp_data'!V:V"), ""), "")</f>
        <v>127728</v>
      </c>
      <c r="Z21" s="10"/>
      <c r="AA21" s="10"/>
    </row>
    <row r="22" spans="1:27" ht="15.3" x14ac:dyDescent="0.55000000000000004">
      <c r="A22" s="7" t="str" cm="1">
        <f t="array" aca="1" ref="A22" ca="1">IF(INDIRECT("'temp_data'!A" &amp; ROW(A20))="","",INDIRECT("'temp_data'!A" &amp; ROW(A20)))</f>
        <v/>
      </c>
      <c r="B22" s="8"/>
      <c r="C22" s="7"/>
      <c r="D22" s="7"/>
      <c r="E22" s="7" t="str" cm="1">
        <f t="array" aca="1" ref="E22" ca="1">IFERROR(_xlfn.XLOOKUP(A22, INDIRECT("'temp_data'!A:A"), INDIRECT("'temp_data'!B:B"), ""), "")</f>
        <v/>
      </c>
      <c r="F22" s="7" t="str" cm="1">
        <f t="array" aca="1" ref="F22" ca="1">IFERROR(_xlfn.XLOOKUP(A22, INDIRECT("'temp_data'!A:A"), INDIRECT("'temp_data'!G:G"), ""), "")</f>
        <v/>
      </c>
      <c r="G22" s="9" t="str" cm="1">
        <f t="array" aca="1" ref="G22" ca="1">IFERROR(_xlfn.XLOOKUP(A22, INDIRECT("'temp_data'!A:A"), INDIRECT("'temp_data'!C:C"), ""), "")</f>
        <v/>
      </c>
      <c r="H22" s="10" t="str" cm="1">
        <f t="array" aca="1" ref="H22" ca="1">IFERROR(_xlfn.XLOOKUP(A22, INDIRECT("'temp_data'!A:A"), INDIRECT("'temp_data'!H:H"), ""), "")</f>
        <v/>
      </c>
      <c r="I22" s="10" t="str" cm="1">
        <f t="array" aca="1" ref="I22" ca="1">IFERROR(_xlfn.XLOOKUP(A22, INDIRECT("'temp_data'!A:A"), INDIRECT("'temp_data'!I:I"), ""), "")</f>
        <v/>
      </c>
      <c r="J22" s="10" t="str" cm="1">
        <f t="array" aca="1" ref="J22" ca="1">IFERROR(_xlfn.XLOOKUP(A22, INDIRECT("'temp_data'!A:A"), INDIRECT("'temp_data'!J:J"), ""), "")</f>
        <v/>
      </c>
      <c r="K22" s="10" t="str" cm="1">
        <f t="array" aca="1" ref="K22" ca="1">IFERROR(_xlfn.XLOOKUP(A22, INDIRECT("'temp_data'!A:A"), INDIRECT("'temp_data'!K:K"), ""), "")</f>
        <v/>
      </c>
      <c r="L22" s="10" t="str" cm="1">
        <f t="array" aca="1" ref="L22" ca="1">IFERROR(_xlfn.XLOOKUP(A22, INDIRECT("'temp_data'!A:A"), INDIRECT("'temp_data'!L:L"), ""), "")</f>
        <v/>
      </c>
      <c r="M22" s="10" t="str" cm="1">
        <f t="array" aca="1" ref="M22" ca="1">IFERROR(_xlfn.XLOOKUP(A22, INDIRECT("'temp_data'!A:A"), INDIRECT("'temp_data'!M:M"), ""), "")</f>
        <v/>
      </c>
      <c r="N22" s="10" t="str" cm="1">
        <f t="array" aca="1" ref="N22" ca="1">IFERROR(_xlfn.XLOOKUP(A22, INDIRECT("'temp_data'!A:A"), INDIRECT("'temp_data'!N:N"), ""), "")</f>
        <v/>
      </c>
      <c r="O22" s="10" t="str" cm="1">
        <f t="array" aca="1" ref="O22" ca="1">IFERROR(_xlfn.XLOOKUP(A22, INDIRECT("'temp_data'!A:A"), INDIRECT("'temp_data'!D:D"), ""), "")</f>
        <v/>
      </c>
      <c r="P22" s="11" t="str" cm="1">
        <f t="array" aca="1" ref="P22" ca="1">IFERROR(_xlfn.XLOOKUP(A22, INDIRECT("'temp_data'!A:A"), INDIRECT("'temp_data'!E:E"), ""), "")</f>
        <v/>
      </c>
      <c r="Q22" s="11" t="str" cm="1">
        <f t="array" aca="1" ref="Q22" ca="1">IFERROR(_xlfn.XLOOKUP(A22, INDIRECT("'temp_data'!A:A"), INDIRECT("'temp_data'!F:F"), ""), "")</f>
        <v/>
      </c>
      <c r="R22" s="11" t="str" cm="1">
        <f t="array" aca="1" ref="R22" ca="1">IFERROR(_xlfn.XLOOKUP(A22, INDIRECT("'temp_data'!A:A"), INDIRECT("'temp_data'!O:O"), ""), "")</f>
        <v/>
      </c>
      <c r="S22" s="11" t="str" cm="1">
        <f t="array" aca="1" ref="S22" ca="1">IFERROR(_xlfn.XLOOKUP(A22, INDIRECT("'temp_data'!A:A"), INDIRECT("'temp_data'!Q:Q"), ""), "")</f>
        <v/>
      </c>
      <c r="T22" s="10" t="str" cm="1">
        <f t="array" aca="1" ref="T22" ca="1">IFERROR(_xlfn.XLOOKUP(A22, INDIRECT("'temp_data'!A:A"), INDIRECT("'temp_data'!P:P"), ""), "")</f>
        <v/>
      </c>
      <c r="U22" s="10" t="str" cm="1">
        <f t="array" aca="1" ref="U22" ca="1">IFERROR(_xlfn.XLOOKUP(A22, INDIRECT("'temp_data'!A:A"), INDIRECT("'temp_data'!R:R"), ""), "")</f>
        <v/>
      </c>
      <c r="V22" s="11" t="str" cm="1">
        <f t="array" aca="1" ref="V22" ca="1">IFERROR(_xlfn.XLOOKUP(A22, INDIRECT("'temp_data'!A:A"), INDIRECT("'temp_data'!S:S"), ""), "")</f>
        <v/>
      </c>
      <c r="W22" s="11" t="str" cm="1">
        <f t="array" aca="1" ref="W22" ca="1">IFERROR(_xlfn.XLOOKUP(A22, INDIRECT("'temp_data'!A:A"), INDIRECT("'temp_data'!T:T"), ""), "")</f>
        <v/>
      </c>
      <c r="X22" s="11" t="str" cm="1">
        <f t="array" aca="1" ref="X22" ca="1">IFERROR(_xlfn.XLOOKUP(A22, INDIRECT("'temp_data'!A:A"), INDIRECT("'temp_data'!U:U"), ""), "")</f>
        <v/>
      </c>
      <c r="Y22" s="11" t="str" cm="1">
        <f t="array" aca="1" ref="Y22" ca="1">IFERROR(_xlfn.XLOOKUP(A22, INDIRECT("'temp_data'!A:A"), INDIRECT("'temp_data'!V:V"), ""), "")</f>
        <v/>
      </c>
      <c r="Z22" s="10"/>
      <c r="AA22" s="10"/>
    </row>
    <row r="23" spans="1:27" ht="15.3" x14ac:dyDescent="0.55000000000000004">
      <c r="A23" s="7" t="str" cm="1">
        <f t="array" aca="1" ref="A23" ca="1">IF(INDIRECT("'temp_data'!A" &amp; ROW(A21))="","",INDIRECT("'temp_data'!A" &amp; ROW(A21)))</f>
        <v/>
      </c>
      <c r="B23" s="8"/>
      <c r="C23" s="7"/>
      <c r="D23" s="7"/>
      <c r="E23" s="7" t="str" cm="1">
        <f t="array" aca="1" ref="E23" ca="1">IFERROR(_xlfn.XLOOKUP(A23, INDIRECT("'temp_data'!A:A"), INDIRECT("'temp_data'!B:B"), ""), "")</f>
        <v/>
      </c>
      <c r="F23" s="7" t="str" cm="1">
        <f t="array" aca="1" ref="F23" ca="1">IFERROR(_xlfn.XLOOKUP(A23, INDIRECT("'temp_data'!A:A"), INDIRECT("'temp_data'!G:G"), ""), "")</f>
        <v/>
      </c>
      <c r="G23" s="9" t="str" cm="1">
        <f t="array" aca="1" ref="G23" ca="1">IFERROR(_xlfn.XLOOKUP(A23, INDIRECT("'temp_data'!A:A"), INDIRECT("'temp_data'!C:C"), ""), "")</f>
        <v/>
      </c>
      <c r="H23" s="10" t="str" cm="1">
        <f t="array" aca="1" ref="H23" ca="1">IFERROR(_xlfn.XLOOKUP(A23, INDIRECT("'temp_data'!A:A"), INDIRECT("'temp_data'!H:H"), ""), "")</f>
        <v/>
      </c>
      <c r="I23" s="10" t="str" cm="1">
        <f t="array" aca="1" ref="I23" ca="1">IFERROR(_xlfn.XLOOKUP(A23, INDIRECT("'temp_data'!A:A"), INDIRECT("'temp_data'!I:I"), ""), "")</f>
        <v/>
      </c>
      <c r="J23" s="10" t="str" cm="1">
        <f t="array" aca="1" ref="J23" ca="1">IFERROR(_xlfn.XLOOKUP(A23, INDIRECT("'temp_data'!A:A"), INDIRECT("'temp_data'!J:J"), ""), "")</f>
        <v/>
      </c>
      <c r="K23" s="10" t="str" cm="1">
        <f t="array" aca="1" ref="K23" ca="1">IFERROR(_xlfn.XLOOKUP(A23, INDIRECT("'temp_data'!A:A"), INDIRECT("'temp_data'!K:K"), ""), "")</f>
        <v/>
      </c>
      <c r="L23" s="10" t="str" cm="1">
        <f t="array" aca="1" ref="L23" ca="1">IFERROR(_xlfn.XLOOKUP(A23, INDIRECT("'temp_data'!A:A"), INDIRECT("'temp_data'!L:L"), ""), "")</f>
        <v/>
      </c>
      <c r="M23" s="10" t="str" cm="1">
        <f t="array" aca="1" ref="M23" ca="1">IFERROR(_xlfn.XLOOKUP(A23, INDIRECT("'temp_data'!A:A"), INDIRECT("'temp_data'!M:M"), ""), "")</f>
        <v/>
      </c>
      <c r="N23" s="10" t="str" cm="1">
        <f t="array" aca="1" ref="N23" ca="1">IFERROR(_xlfn.XLOOKUP(A23, INDIRECT("'temp_data'!A:A"), INDIRECT("'temp_data'!N:N"), ""), "")</f>
        <v/>
      </c>
      <c r="O23" s="10" t="str" cm="1">
        <f t="array" aca="1" ref="O23" ca="1">IFERROR(_xlfn.XLOOKUP(A23, INDIRECT("'temp_data'!A:A"), INDIRECT("'temp_data'!D:D"), ""), "")</f>
        <v/>
      </c>
      <c r="P23" s="11" t="str" cm="1">
        <f t="array" aca="1" ref="P23" ca="1">IFERROR(_xlfn.XLOOKUP(A23, INDIRECT("'temp_data'!A:A"), INDIRECT("'temp_data'!E:E"), ""), "")</f>
        <v/>
      </c>
      <c r="Q23" s="11" t="str" cm="1">
        <f t="array" aca="1" ref="Q23" ca="1">IFERROR(_xlfn.XLOOKUP(A23, INDIRECT("'temp_data'!A:A"), INDIRECT("'temp_data'!F:F"), ""), "")</f>
        <v/>
      </c>
      <c r="R23" s="11" t="str" cm="1">
        <f t="array" aca="1" ref="R23" ca="1">IFERROR(_xlfn.XLOOKUP(A23, INDIRECT("'temp_data'!A:A"), INDIRECT("'temp_data'!O:O"), ""), "")</f>
        <v/>
      </c>
      <c r="S23" s="11" t="str" cm="1">
        <f t="array" aca="1" ref="S23" ca="1">IFERROR(_xlfn.XLOOKUP(A23, INDIRECT("'temp_data'!A:A"), INDIRECT("'temp_data'!Q:Q"), ""), "")</f>
        <v/>
      </c>
      <c r="T23" s="10" t="str" cm="1">
        <f t="array" aca="1" ref="T23" ca="1">IFERROR(_xlfn.XLOOKUP(A23, INDIRECT("'temp_data'!A:A"), INDIRECT("'temp_data'!P:P"), ""), "")</f>
        <v/>
      </c>
      <c r="U23" s="10" t="str" cm="1">
        <f t="array" aca="1" ref="U23" ca="1">IFERROR(_xlfn.XLOOKUP(A23, INDIRECT("'temp_data'!A:A"), INDIRECT("'temp_data'!R:R"), ""), "")</f>
        <v/>
      </c>
      <c r="V23" s="11" t="str" cm="1">
        <f t="array" aca="1" ref="V23" ca="1">IFERROR(_xlfn.XLOOKUP(A23, INDIRECT("'temp_data'!A:A"), INDIRECT("'temp_data'!S:S"), ""), "")</f>
        <v/>
      </c>
      <c r="W23" s="11" t="str" cm="1">
        <f t="array" aca="1" ref="W23" ca="1">IFERROR(_xlfn.XLOOKUP(A23, INDIRECT("'temp_data'!A:A"), INDIRECT("'temp_data'!T:T"), ""), "")</f>
        <v/>
      </c>
      <c r="X23" s="11" t="str" cm="1">
        <f t="array" aca="1" ref="X23" ca="1">IFERROR(_xlfn.XLOOKUP(A23, INDIRECT("'temp_data'!A:A"), INDIRECT("'temp_data'!U:U"), ""), "")</f>
        <v/>
      </c>
      <c r="Y23" s="11" t="str" cm="1">
        <f t="array" aca="1" ref="Y23" ca="1">IFERROR(_xlfn.XLOOKUP(A23, INDIRECT("'temp_data'!A:A"), INDIRECT("'temp_data'!V:V"), ""), "")</f>
        <v/>
      </c>
      <c r="Z23" s="10"/>
      <c r="AA23" s="10"/>
    </row>
    <row r="24" spans="1:27" ht="15.3" x14ac:dyDescent="0.55000000000000004">
      <c r="A24" s="7" t="str" cm="1">
        <f t="array" aca="1" ref="A24" ca="1">IF(INDIRECT("'temp_data'!A" &amp; ROW(A22))="","",INDIRECT("'temp_data'!A" &amp; ROW(A22)))</f>
        <v/>
      </c>
      <c r="B24" s="8"/>
      <c r="C24" s="7"/>
      <c r="D24" s="7"/>
      <c r="E24" s="7" t="str" cm="1">
        <f t="array" aca="1" ref="E24" ca="1">IFERROR(_xlfn.XLOOKUP(A24, INDIRECT("'temp_data'!A:A"), INDIRECT("'temp_data'!B:B"), ""), "")</f>
        <v/>
      </c>
      <c r="F24" s="7" t="str" cm="1">
        <f t="array" aca="1" ref="F24" ca="1">IFERROR(_xlfn.XLOOKUP(A24, INDIRECT("'temp_data'!A:A"), INDIRECT("'temp_data'!G:G"), ""), "")</f>
        <v/>
      </c>
      <c r="G24" s="9" t="str" cm="1">
        <f t="array" aca="1" ref="G24" ca="1">IFERROR(_xlfn.XLOOKUP(A24, INDIRECT("'temp_data'!A:A"), INDIRECT("'temp_data'!C:C"), ""), "")</f>
        <v/>
      </c>
      <c r="H24" s="10" t="str" cm="1">
        <f t="array" aca="1" ref="H24" ca="1">IFERROR(_xlfn.XLOOKUP(A24, INDIRECT("'temp_data'!A:A"), INDIRECT("'temp_data'!H:H"), ""), "")</f>
        <v/>
      </c>
      <c r="I24" s="10" t="str" cm="1">
        <f t="array" aca="1" ref="I24" ca="1">IFERROR(_xlfn.XLOOKUP(A24, INDIRECT("'temp_data'!A:A"), INDIRECT("'temp_data'!I:I"), ""), "")</f>
        <v/>
      </c>
      <c r="J24" s="10" t="str" cm="1">
        <f t="array" aca="1" ref="J24" ca="1">IFERROR(_xlfn.XLOOKUP(A24, INDIRECT("'temp_data'!A:A"), INDIRECT("'temp_data'!J:J"), ""), "")</f>
        <v/>
      </c>
      <c r="K24" s="10" t="str" cm="1">
        <f t="array" aca="1" ref="K24" ca="1">IFERROR(_xlfn.XLOOKUP(A24, INDIRECT("'temp_data'!A:A"), INDIRECT("'temp_data'!K:K"), ""), "")</f>
        <v/>
      </c>
      <c r="L24" s="10" t="str" cm="1">
        <f t="array" aca="1" ref="L24" ca="1">IFERROR(_xlfn.XLOOKUP(A24, INDIRECT("'temp_data'!A:A"), INDIRECT("'temp_data'!L:L"), ""), "")</f>
        <v/>
      </c>
      <c r="M24" s="10" t="str" cm="1">
        <f t="array" aca="1" ref="M24" ca="1">IFERROR(_xlfn.XLOOKUP(A24, INDIRECT("'temp_data'!A:A"), INDIRECT("'temp_data'!M:M"), ""), "")</f>
        <v/>
      </c>
      <c r="N24" s="10" t="str" cm="1">
        <f t="array" aca="1" ref="N24" ca="1">IFERROR(_xlfn.XLOOKUP(A24, INDIRECT("'temp_data'!A:A"), INDIRECT("'temp_data'!N:N"), ""), "")</f>
        <v/>
      </c>
      <c r="O24" s="10" t="str" cm="1">
        <f t="array" aca="1" ref="O24" ca="1">IFERROR(_xlfn.XLOOKUP(A24, INDIRECT("'temp_data'!A:A"), INDIRECT("'temp_data'!D:D"), ""), "")</f>
        <v/>
      </c>
      <c r="P24" s="11" t="str" cm="1">
        <f t="array" aca="1" ref="P24" ca="1">IFERROR(_xlfn.XLOOKUP(A24, INDIRECT("'temp_data'!A:A"), INDIRECT("'temp_data'!E:E"), ""), "")</f>
        <v/>
      </c>
      <c r="Q24" s="11" t="str" cm="1">
        <f t="array" aca="1" ref="Q24" ca="1">IFERROR(_xlfn.XLOOKUP(A24, INDIRECT("'temp_data'!A:A"), INDIRECT("'temp_data'!F:F"), ""), "")</f>
        <v/>
      </c>
      <c r="R24" s="11" t="str" cm="1">
        <f t="array" aca="1" ref="R24" ca="1">IFERROR(_xlfn.XLOOKUP(A24, INDIRECT("'temp_data'!A:A"), INDIRECT("'temp_data'!O:O"), ""), "")</f>
        <v/>
      </c>
      <c r="S24" s="11" t="str" cm="1">
        <f t="array" aca="1" ref="S24" ca="1">IFERROR(_xlfn.XLOOKUP(A24, INDIRECT("'temp_data'!A:A"), INDIRECT("'temp_data'!Q:Q"), ""), "")</f>
        <v/>
      </c>
      <c r="T24" s="10" t="str" cm="1">
        <f t="array" aca="1" ref="T24" ca="1">IFERROR(_xlfn.XLOOKUP(A24, INDIRECT("'temp_data'!A:A"), INDIRECT("'temp_data'!P:P"), ""), "")</f>
        <v/>
      </c>
      <c r="U24" s="10" t="str" cm="1">
        <f t="array" aca="1" ref="U24" ca="1">IFERROR(_xlfn.XLOOKUP(A24, INDIRECT("'temp_data'!A:A"), INDIRECT("'temp_data'!R:R"), ""), "")</f>
        <v/>
      </c>
      <c r="V24" s="11" t="str" cm="1">
        <f t="array" aca="1" ref="V24" ca="1">IFERROR(_xlfn.XLOOKUP(A24, INDIRECT("'temp_data'!A:A"), INDIRECT("'temp_data'!S:S"), ""), "")</f>
        <v/>
      </c>
      <c r="W24" s="11" t="str" cm="1">
        <f t="array" aca="1" ref="W24" ca="1">IFERROR(_xlfn.XLOOKUP(A24, INDIRECT("'temp_data'!A:A"), INDIRECT("'temp_data'!T:T"), ""), "")</f>
        <v/>
      </c>
      <c r="X24" s="11" t="str" cm="1">
        <f t="array" aca="1" ref="X24" ca="1">IFERROR(_xlfn.XLOOKUP(A24, INDIRECT("'temp_data'!A:A"), INDIRECT("'temp_data'!U:U"), ""), "")</f>
        <v/>
      </c>
      <c r="Y24" s="11" t="str" cm="1">
        <f t="array" aca="1" ref="Y24" ca="1">IFERROR(_xlfn.XLOOKUP(A24, INDIRECT("'temp_data'!A:A"), INDIRECT("'temp_data'!V:V"), ""), "")</f>
        <v/>
      </c>
      <c r="Z24" s="10"/>
      <c r="AA24" s="10"/>
    </row>
    <row r="25" spans="1:27" ht="15.3" x14ac:dyDescent="0.55000000000000004">
      <c r="A25" s="7" t="str" cm="1">
        <f t="array" aca="1" ref="A25" ca="1">IF(INDIRECT("'temp_data'!A" &amp; ROW(A23))="","",INDIRECT("'temp_data'!A" &amp; ROW(A23)))</f>
        <v/>
      </c>
      <c r="B25" s="8"/>
      <c r="C25" s="7"/>
      <c r="D25" s="7"/>
      <c r="E25" s="7" t="str" cm="1">
        <f t="array" aca="1" ref="E25" ca="1">IFERROR(_xlfn.XLOOKUP(A25, INDIRECT("'temp_data'!A:A"), INDIRECT("'temp_data'!B:B"), ""), "")</f>
        <v/>
      </c>
      <c r="F25" s="7" t="str" cm="1">
        <f t="array" aca="1" ref="F25" ca="1">IFERROR(_xlfn.XLOOKUP(A25, INDIRECT("'temp_data'!A:A"), INDIRECT("'temp_data'!G:G"), ""), "")</f>
        <v/>
      </c>
      <c r="G25" s="9" t="str" cm="1">
        <f t="array" aca="1" ref="G25" ca="1">IFERROR(_xlfn.XLOOKUP(A25, INDIRECT("'temp_data'!A:A"), INDIRECT("'temp_data'!C:C"), ""), "")</f>
        <v/>
      </c>
      <c r="H25" s="10" t="str" cm="1">
        <f t="array" aca="1" ref="H25" ca="1">IFERROR(_xlfn.XLOOKUP(A25, INDIRECT("'temp_data'!A:A"), INDIRECT("'temp_data'!H:H"), ""), "")</f>
        <v/>
      </c>
      <c r="I25" s="10" t="str" cm="1">
        <f t="array" aca="1" ref="I25" ca="1">IFERROR(_xlfn.XLOOKUP(A25, INDIRECT("'temp_data'!A:A"), INDIRECT("'temp_data'!I:I"), ""), "")</f>
        <v/>
      </c>
      <c r="J25" s="10" t="str" cm="1">
        <f t="array" aca="1" ref="J25" ca="1">IFERROR(_xlfn.XLOOKUP(A25, INDIRECT("'temp_data'!A:A"), INDIRECT("'temp_data'!J:J"), ""), "")</f>
        <v/>
      </c>
      <c r="K25" s="10" t="str" cm="1">
        <f t="array" aca="1" ref="K25" ca="1">IFERROR(_xlfn.XLOOKUP(A25, INDIRECT("'temp_data'!A:A"), INDIRECT("'temp_data'!K:K"), ""), "")</f>
        <v/>
      </c>
      <c r="L25" s="10" t="str" cm="1">
        <f t="array" aca="1" ref="L25" ca="1">IFERROR(_xlfn.XLOOKUP(A25, INDIRECT("'temp_data'!A:A"), INDIRECT("'temp_data'!L:L"), ""), "")</f>
        <v/>
      </c>
      <c r="M25" s="10" t="str" cm="1">
        <f t="array" aca="1" ref="M25" ca="1">IFERROR(_xlfn.XLOOKUP(A25, INDIRECT("'temp_data'!A:A"), INDIRECT("'temp_data'!M:M"), ""), "")</f>
        <v/>
      </c>
      <c r="N25" s="10" t="str" cm="1">
        <f t="array" aca="1" ref="N25" ca="1">IFERROR(_xlfn.XLOOKUP(A25, INDIRECT("'temp_data'!A:A"), INDIRECT("'temp_data'!N:N"), ""), "")</f>
        <v/>
      </c>
      <c r="O25" s="10" t="str" cm="1">
        <f t="array" aca="1" ref="O25" ca="1">IFERROR(_xlfn.XLOOKUP(A25, INDIRECT("'temp_data'!A:A"), INDIRECT("'temp_data'!D:D"), ""), "")</f>
        <v/>
      </c>
      <c r="P25" s="11" t="str" cm="1">
        <f t="array" aca="1" ref="P25" ca="1">IFERROR(_xlfn.XLOOKUP(A25, INDIRECT("'temp_data'!A:A"), INDIRECT("'temp_data'!E:E"), ""), "")</f>
        <v/>
      </c>
      <c r="Q25" s="11" t="str" cm="1">
        <f t="array" aca="1" ref="Q25" ca="1">IFERROR(_xlfn.XLOOKUP(A25, INDIRECT("'temp_data'!A:A"), INDIRECT("'temp_data'!F:F"), ""), "")</f>
        <v/>
      </c>
      <c r="R25" s="11" t="str" cm="1">
        <f t="array" aca="1" ref="R25" ca="1">IFERROR(_xlfn.XLOOKUP(A25, INDIRECT("'temp_data'!A:A"), INDIRECT("'temp_data'!O:O"), ""), "")</f>
        <v/>
      </c>
      <c r="S25" s="11" t="str" cm="1">
        <f t="array" aca="1" ref="S25" ca="1">IFERROR(_xlfn.XLOOKUP(A25, INDIRECT("'temp_data'!A:A"), INDIRECT("'temp_data'!Q:Q"), ""), "")</f>
        <v/>
      </c>
      <c r="T25" s="10" t="str" cm="1">
        <f t="array" aca="1" ref="T25" ca="1">IFERROR(_xlfn.XLOOKUP(A25, INDIRECT("'temp_data'!A:A"), INDIRECT("'temp_data'!P:P"), ""), "")</f>
        <v/>
      </c>
      <c r="U25" s="10" t="str" cm="1">
        <f t="array" aca="1" ref="U25" ca="1">IFERROR(_xlfn.XLOOKUP(A25, INDIRECT("'temp_data'!A:A"), INDIRECT("'temp_data'!R:R"), ""), "")</f>
        <v/>
      </c>
      <c r="V25" s="11" t="str" cm="1">
        <f t="array" aca="1" ref="V25" ca="1">IFERROR(_xlfn.XLOOKUP(A25, INDIRECT("'temp_data'!A:A"), INDIRECT("'temp_data'!S:S"), ""), "")</f>
        <v/>
      </c>
      <c r="W25" s="11" t="str" cm="1">
        <f t="array" aca="1" ref="W25" ca="1">IFERROR(_xlfn.XLOOKUP(A25, INDIRECT("'temp_data'!A:A"), INDIRECT("'temp_data'!T:T"), ""), "")</f>
        <v/>
      </c>
      <c r="X25" s="11" t="str" cm="1">
        <f t="array" aca="1" ref="X25" ca="1">IFERROR(_xlfn.XLOOKUP(A25, INDIRECT("'temp_data'!A:A"), INDIRECT("'temp_data'!U:U"), ""), "")</f>
        <v/>
      </c>
      <c r="Y25" s="11" t="str" cm="1">
        <f t="array" aca="1" ref="Y25" ca="1">IFERROR(_xlfn.XLOOKUP(A25, INDIRECT("'temp_data'!A:A"), INDIRECT("'temp_data'!V:V"), ""), "")</f>
        <v/>
      </c>
      <c r="Z25" s="10"/>
      <c r="AA25" s="10"/>
    </row>
    <row r="26" spans="1:27" ht="15.3" x14ac:dyDescent="0.55000000000000004">
      <c r="A26" s="7" t="str" cm="1">
        <f t="array" aca="1" ref="A26" ca="1">IF(INDIRECT("'temp_data'!A" &amp; ROW(A24))="","",INDIRECT("'temp_data'!A" &amp; ROW(A24)))</f>
        <v/>
      </c>
      <c r="B26" s="8"/>
      <c r="C26" s="7"/>
      <c r="D26" s="7"/>
      <c r="E26" s="7" t="str" cm="1">
        <f t="array" aca="1" ref="E26" ca="1">IFERROR(_xlfn.XLOOKUP(A26, INDIRECT("'temp_data'!A:A"), INDIRECT("'temp_data'!B:B"), ""), "")</f>
        <v/>
      </c>
      <c r="F26" s="7" t="str" cm="1">
        <f t="array" aca="1" ref="F26" ca="1">IFERROR(_xlfn.XLOOKUP(A26, INDIRECT("'temp_data'!A:A"), INDIRECT("'temp_data'!G:G"), ""), "")</f>
        <v/>
      </c>
      <c r="G26" s="9" t="str" cm="1">
        <f t="array" aca="1" ref="G26" ca="1">IFERROR(_xlfn.XLOOKUP(A26, INDIRECT("'temp_data'!A:A"), INDIRECT("'temp_data'!C:C"), ""), "")</f>
        <v/>
      </c>
      <c r="H26" s="10" t="str" cm="1">
        <f t="array" aca="1" ref="H26" ca="1">IFERROR(_xlfn.XLOOKUP(A26, INDIRECT("'temp_data'!A:A"), INDIRECT("'temp_data'!H:H"), ""), "")</f>
        <v/>
      </c>
      <c r="I26" s="10" t="str" cm="1">
        <f t="array" aca="1" ref="I26" ca="1">IFERROR(_xlfn.XLOOKUP(A26, INDIRECT("'temp_data'!A:A"), INDIRECT("'temp_data'!I:I"), ""), "")</f>
        <v/>
      </c>
      <c r="J26" s="10" t="str" cm="1">
        <f t="array" aca="1" ref="J26" ca="1">IFERROR(_xlfn.XLOOKUP(A26, INDIRECT("'temp_data'!A:A"), INDIRECT("'temp_data'!J:J"), ""), "")</f>
        <v/>
      </c>
      <c r="K26" s="10" t="str" cm="1">
        <f t="array" aca="1" ref="K26" ca="1">IFERROR(_xlfn.XLOOKUP(A26, INDIRECT("'temp_data'!A:A"), INDIRECT("'temp_data'!K:K"), ""), "")</f>
        <v/>
      </c>
      <c r="L26" s="10" t="str" cm="1">
        <f t="array" aca="1" ref="L26" ca="1">IFERROR(_xlfn.XLOOKUP(A26, INDIRECT("'temp_data'!A:A"), INDIRECT("'temp_data'!L:L"), ""), "")</f>
        <v/>
      </c>
      <c r="M26" s="10" t="str" cm="1">
        <f t="array" aca="1" ref="M26" ca="1">IFERROR(_xlfn.XLOOKUP(A26, INDIRECT("'temp_data'!A:A"), INDIRECT("'temp_data'!M:M"), ""), "")</f>
        <v/>
      </c>
      <c r="N26" s="10" t="str" cm="1">
        <f t="array" aca="1" ref="N26" ca="1">IFERROR(_xlfn.XLOOKUP(A26, INDIRECT("'temp_data'!A:A"), INDIRECT("'temp_data'!N:N"), ""), "")</f>
        <v/>
      </c>
      <c r="O26" s="10" t="str" cm="1">
        <f t="array" aca="1" ref="O26" ca="1">IFERROR(_xlfn.XLOOKUP(A26, INDIRECT("'temp_data'!A:A"), INDIRECT("'temp_data'!D:D"), ""), "")</f>
        <v/>
      </c>
      <c r="P26" s="11" t="str" cm="1">
        <f t="array" aca="1" ref="P26" ca="1">IFERROR(_xlfn.XLOOKUP(A26, INDIRECT("'temp_data'!A:A"), INDIRECT("'temp_data'!E:E"), ""), "")</f>
        <v/>
      </c>
      <c r="Q26" s="11" t="str" cm="1">
        <f t="array" aca="1" ref="Q26" ca="1">IFERROR(_xlfn.XLOOKUP(A26, INDIRECT("'temp_data'!A:A"), INDIRECT("'temp_data'!F:F"), ""), "")</f>
        <v/>
      </c>
      <c r="R26" s="11" t="str" cm="1">
        <f t="array" aca="1" ref="R26" ca="1">IFERROR(_xlfn.XLOOKUP(A26, INDIRECT("'temp_data'!A:A"), INDIRECT("'temp_data'!O:O"), ""), "")</f>
        <v/>
      </c>
      <c r="S26" s="11" t="str" cm="1">
        <f t="array" aca="1" ref="S26" ca="1">IFERROR(_xlfn.XLOOKUP(A26, INDIRECT("'temp_data'!A:A"), INDIRECT("'temp_data'!Q:Q"), ""), "")</f>
        <v/>
      </c>
      <c r="T26" s="10" t="str" cm="1">
        <f t="array" aca="1" ref="T26" ca="1">IFERROR(_xlfn.XLOOKUP(A26, INDIRECT("'temp_data'!A:A"), INDIRECT("'temp_data'!P:P"), ""), "")</f>
        <v/>
      </c>
      <c r="U26" s="10" t="str" cm="1">
        <f t="array" aca="1" ref="U26" ca="1">IFERROR(_xlfn.XLOOKUP(A26, INDIRECT("'temp_data'!A:A"), INDIRECT("'temp_data'!R:R"), ""), "")</f>
        <v/>
      </c>
      <c r="V26" s="11" t="str" cm="1">
        <f t="array" aca="1" ref="V26" ca="1">IFERROR(_xlfn.XLOOKUP(A26, INDIRECT("'temp_data'!A:A"), INDIRECT("'temp_data'!S:S"), ""), "")</f>
        <v/>
      </c>
      <c r="W26" s="11" t="str" cm="1">
        <f t="array" aca="1" ref="W26" ca="1">IFERROR(_xlfn.XLOOKUP(A26, INDIRECT("'temp_data'!A:A"), INDIRECT("'temp_data'!T:T"), ""), "")</f>
        <v/>
      </c>
      <c r="X26" s="11" t="str" cm="1">
        <f t="array" aca="1" ref="X26" ca="1">IFERROR(_xlfn.XLOOKUP(A26, INDIRECT("'temp_data'!A:A"), INDIRECT("'temp_data'!U:U"), ""), "")</f>
        <v/>
      </c>
      <c r="Y26" s="11" t="str" cm="1">
        <f t="array" aca="1" ref="Y26" ca="1">IFERROR(_xlfn.XLOOKUP(A26, INDIRECT("'temp_data'!A:A"), INDIRECT("'temp_data'!V:V"), ""), "")</f>
        <v/>
      </c>
      <c r="Z26" s="10"/>
      <c r="AA26" s="10"/>
    </row>
    <row r="27" spans="1:27" ht="15.3" x14ac:dyDescent="0.55000000000000004">
      <c r="A27" s="7" t="str" cm="1">
        <f t="array" aca="1" ref="A27" ca="1">IF(INDIRECT("'temp_data'!A" &amp; ROW(A25))="","",INDIRECT("'temp_data'!A" &amp; ROW(A25)))</f>
        <v/>
      </c>
      <c r="B27" s="8"/>
      <c r="C27" s="7"/>
      <c r="D27" s="7"/>
      <c r="E27" s="7" t="str" cm="1">
        <f t="array" aca="1" ref="E27" ca="1">IFERROR(_xlfn.XLOOKUP(A27, INDIRECT("'temp_data'!A:A"), INDIRECT("'temp_data'!B:B"), ""), "")</f>
        <v/>
      </c>
      <c r="F27" s="7" t="str" cm="1">
        <f t="array" aca="1" ref="F27" ca="1">IFERROR(_xlfn.XLOOKUP(A27, INDIRECT("'temp_data'!A:A"), INDIRECT("'temp_data'!G:G"), ""), "")</f>
        <v/>
      </c>
      <c r="G27" s="9" t="str" cm="1">
        <f t="array" aca="1" ref="G27" ca="1">IFERROR(_xlfn.XLOOKUP(A27, INDIRECT("'temp_data'!A:A"), INDIRECT("'temp_data'!C:C"), ""), "")</f>
        <v/>
      </c>
      <c r="H27" s="10" t="str" cm="1">
        <f t="array" aca="1" ref="H27" ca="1">IFERROR(_xlfn.XLOOKUP(A27, INDIRECT("'temp_data'!A:A"), INDIRECT("'temp_data'!H:H"), ""), "")</f>
        <v/>
      </c>
      <c r="I27" s="10" t="str" cm="1">
        <f t="array" aca="1" ref="I27" ca="1">IFERROR(_xlfn.XLOOKUP(A27, INDIRECT("'temp_data'!A:A"), INDIRECT("'temp_data'!I:I"), ""), "")</f>
        <v/>
      </c>
      <c r="J27" s="10" t="str" cm="1">
        <f t="array" aca="1" ref="J27" ca="1">IFERROR(_xlfn.XLOOKUP(A27, INDIRECT("'temp_data'!A:A"), INDIRECT("'temp_data'!J:J"), ""), "")</f>
        <v/>
      </c>
      <c r="K27" s="10" t="str" cm="1">
        <f t="array" aca="1" ref="K27" ca="1">IFERROR(_xlfn.XLOOKUP(A27, INDIRECT("'temp_data'!A:A"), INDIRECT("'temp_data'!K:K"), ""), "")</f>
        <v/>
      </c>
      <c r="L27" s="10" t="str" cm="1">
        <f t="array" aca="1" ref="L27" ca="1">IFERROR(_xlfn.XLOOKUP(A27, INDIRECT("'temp_data'!A:A"), INDIRECT("'temp_data'!L:L"), ""), "")</f>
        <v/>
      </c>
      <c r="M27" s="10" t="str" cm="1">
        <f t="array" aca="1" ref="M27" ca="1">IFERROR(_xlfn.XLOOKUP(A27, INDIRECT("'temp_data'!A:A"), INDIRECT("'temp_data'!M:M"), ""), "")</f>
        <v/>
      </c>
      <c r="N27" s="10" t="str" cm="1">
        <f t="array" aca="1" ref="N27" ca="1">IFERROR(_xlfn.XLOOKUP(A27, INDIRECT("'temp_data'!A:A"), INDIRECT("'temp_data'!N:N"), ""), "")</f>
        <v/>
      </c>
      <c r="O27" s="10" t="str" cm="1">
        <f t="array" aca="1" ref="O27" ca="1">IFERROR(_xlfn.XLOOKUP(A27, INDIRECT("'temp_data'!A:A"), INDIRECT("'temp_data'!D:D"), ""), "")</f>
        <v/>
      </c>
      <c r="P27" s="11" t="str" cm="1">
        <f t="array" aca="1" ref="P27" ca="1">IFERROR(_xlfn.XLOOKUP(A27, INDIRECT("'temp_data'!A:A"), INDIRECT("'temp_data'!E:E"), ""), "")</f>
        <v/>
      </c>
      <c r="Q27" s="11" t="str" cm="1">
        <f t="array" aca="1" ref="Q27" ca="1">IFERROR(_xlfn.XLOOKUP(A27, INDIRECT("'temp_data'!A:A"), INDIRECT("'temp_data'!F:F"), ""), "")</f>
        <v/>
      </c>
      <c r="R27" s="11" t="str" cm="1">
        <f t="array" aca="1" ref="R27" ca="1">IFERROR(_xlfn.XLOOKUP(A27, INDIRECT("'temp_data'!A:A"), INDIRECT("'temp_data'!O:O"), ""), "")</f>
        <v/>
      </c>
      <c r="S27" s="11" t="str" cm="1">
        <f t="array" aca="1" ref="S27" ca="1">IFERROR(_xlfn.XLOOKUP(A27, INDIRECT("'temp_data'!A:A"), INDIRECT("'temp_data'!Q:Q"), ""), "")</f>
        <v/>
      </c>
      <c r="T27" s="10" t="str" cm="1">
        <f t="array" aca="1" ref="T27" ca="1">IFERROR(_xlfn.XLOOKUP(A27, INDIRECT("'temp_data'!A:A"), INDIRECT("'temp_data'!P:P"), ""), "")</f>
        <v/>
      </c>
      <c r="U27" s="10" t="str" cm="1">
        <f t="array" aca="1" ref="U27" ca="1">IFERROR(_xlfn.XLOOKUP(A27, INDIRECT("'temp_data'!A:A"), INDIRECT("'temp_data'!R:R"), ""), "")</f>
        <v/>
      </c>
      <c r="V27" s="11" t="str" cm="1">
        <f t="array" aca="1" ref="V27" ca="1">IFERROR(_xlfn.XLOOKUP(A27, INDIRECT("'temp_data'!A:A"), INDIRECT("'temp_data'!S:S"), ""), "")</f>
        <v/>
      </c>
      <c r="W27" s="11" t="str" cm="1">
        <f t="array" aca="1" ref="W27" ca="1">IFERROR(_xlfn.XLOOKUP(A27, INDIRECT("'temp_data'!A:A"), INDIRECT("'temp_data'!T:T"), ""), "")</f>
        <v/>
      </c>
      <c r="X27" s="11" t="str" cm="1">
        <f t="array" aca="1" ref="X27" ca="1">IFERROR(_xlfn.XLOOKUP(A27, INDIRECT("'temp_data'!A:A"), INDIRECT("'temp_data'!U:U"), ""), "")</f>
        <v/>
      </c>
      <c r="Y27" s="11" t="str" cm="1">
        <f t="array" aca="1" ref="Y27" ca="1">IFERROR(_xlfn.XLOOKUP(A27, INDIRECT("'temp_data'!A:A"), INDIRECT("'temp_data'!V:V"), ""), "")</f>
        <v/>
      </c>
      <c r="Z27" s="10"/>
      <c r="AA27" s="10"/>
    </row>
    <row r="28" spans="1:27" ht="15.3" x14ac:dyDescent="0.55000000000000004">
      <c r="A28" s="7" t="str" cm="1">
        <f t="array" aca="1" ref="A28" ca="1">IF(INDIRECT("'temp_data'!A" &amp; ROW(A26))="","",INDIRECT("'temp_data'!A" &amp; ROW(A26)))</f>
        <v/>
      </c>
      <c r="B28" s="8"/>
      <c r="C28" s="7"/>
      <c r="D28" s="7"/>
      <c r="E28" s="7" t="str" cm="1">
        <f t="array" aca="1" ref="E28" ca="1">IFERROR(_xlfn.XLOOKUP(A28, INDIRECT("'temp_data'!A:A"), INDIRECT("'temp_data'!B:B"), ""), "")</f>
        <v/>
      </c>
      <c r="F28" s="7" t="str" cm="1">
        <f t="array" aca="1" ref="F28" ca="1">IFERROR(_xlfn.XLOOKUP(A28, INDIRECT("'temp_data'!A:A"), INDIRECT("'temp_data'!G:G"), ""), "")</f>
        <v/>
      </c>
      <c r="G28" s="9" t="str" cm="1">
        <f t="array" aca="1" ref="G28" ca="1">IFERROR(_xlfn.XLOOKUP(A28, INDIRECT("'temp_data'!A:A"), INDIRECT("'temp_data'!C:C"), ""), "")</f>
        <v/>
      </c>
      <c r="H28" s="10" t="str" cm="1">
        <f t="array" aca="1" ref="H28" ca="1">IFERROR(_xlfn.XLOOKUP(A28, INDIRECT("'temp_data'!A:A"), INDIRECT("'temp_data'!H:H"), ""), "")</f>
        <v/>
      </c>
      <c r="I28" s="10" t="str" cm="1">
        <f t="array" aca="1" ref="I28" ca="1">IFERROR(_xlfn.XLOOKUP(A28, INDIRECT("'temp_data'!A:A"), INDIRECT("'temp_data'!I:I"), ""), "")</f>
        <v/>
      </c>
      <c r="J28" s="10" t="str" cm="1">
        <f t="array" aca="1" ref="J28" ca="1">IFERROR(_xlfn.XLOOKUP(A28, INDIRECT("'temp_data'!A:A"), INDIRECT("'temp_data'!J:J"), ""), "")</f>
        <v/>
      </c>
      <c r="K28" s="10" t="str" cm="1">
        <f t="array" aca="1" ref="K28" ca="1">IFERROR(_xlfn.XLOOKUP(A28, INDIRECT("'temp_data'!A:A"), INDIRECT("'temp_data'!K:K"), ""), "")</f>
        <v/>
      </c>
      <c r="L28" s="10" t="str" cm="1">
        <f t="array" aca="1" ref="L28" ca="1">IFERROR(_xlfn.XLOOKUP(A28, INDIRECT("'temp_data'!A:A"), INDIRECT("'temp_data'!L:L"), ""), "")</f>
        <v/>
      </c>
      <c r="M28" s="10" t="str" cm="1">
        <f t="array" aca="1" ref="M28" ca="1">IFERROR(_xlfn.XLOOKUP(A28, INDIRECT("'temp_data'!A:A"), INDIRECT("'temp_data'!M:M"), ""), "")</f>
        <v/>
      </c>
      <c r="N28" s="10" t="str" cm="1">
        <f t="array" aca="1" ref="N28" ca="1">IFERROR(_xlfn.XLOOKUP(A28, INDIRECT("'temp_data'!A:A"), INDIRECT("'temp_data'!N:N"), ""), "")</f>
        <v/>
      </c>
      <c r="O28" s="10" t="str" cm="1">
        <f t="array" aca="1" ref="O28" ca="1">IFERROR(_xlfn.XLOOKUP(A28, INDIRECT("'temp_data'!A:A"), INDIRECT("'temp_data'!D:D"), ""), "")</f>
        <v/>
      </c>
      <c r="P28" s="11" t="str" cm="1">
        <f t="array" aca="1" ref="P28" ca="1">IFERROR(_xlfn.XLOOKUP(A28, INDIRECT("'temp_data'!A:A"), INDIRECT("'temp_data'!E:E"), ""), "")</f>
        <v/>
      </c>
      <c r="Q28" s="11" t="str" cm="1">
        <f t="array" aca="1" ref="Q28" ca="1">IFERROR(_xlfn.XLOOKUP(A28, INDIRECT("'temp_data'!A:A"), INDIRECT("'temp_data'!F:F"), ""), "")</f>
        <v/>
      </c>
      <c r="R28" s="11" t="str" cm="1">
        <f t="array" aca="1" ref="R28" ca="1">IFERROR(_xlfn.XLOOKUP(A28, INDIRECT("'temp_data'!A:A"), INDIRECT("'temp_data'!O:O"), ""), "")</f>
        <v/>
      </c>
      <c r="S28" s="11" t="str" cm="1">
        <f t="array" aca="1" ref="S28" ca="1">IFERROR(_xlfn.XLOOKUP(A28, INDIRECT("'temp_data'!A:A"), INDIRECT("'temp_data'!Q:Q"), ""), "")</f>
        <v/>
      </c>
      <c r="T28" s="10" t="str" cm="1">
        <f t="array" aca="1" ref="T28" ca="1">IFERROR(_xlfn.XLOOKUP(A28, INDIRECT("'temp_data'!A:A"), INDIRECT("'temp_data'!P:P"), ""), "")</f>
        <v/>
      </c>
      <c r="U28" s="10" t="str" cm="1">
        <f t="array" aca="1" ref="U28" ca="1">IFERROR(_xlfn.XLOOKUP(A28, INDIRECT("'temp_data'!A:A"), INDIRECT("'temp_data'!R:R"), ""), "")</f>
        <v/>
      </c>
      <c r="V28" s="11" t="str" cm="1">
        <f t="array" aca="1" ref="V28" ca="1">IFERROR(_xlfn.XLOOKUP(A28, INDIRECT("'temp_data'!A:A"), INDIRECT("'temp_data'!S:S"), ""), "")</f>
        <v/>
      </c>
      <c r="W28" s="11" t="str" cm="1">
        <f t="array" aca="1" ref="W28" ca="1">IFERROR(_xlfn.XLOOKUP(A28, INDIRECT("'temp_data'!A:A"), INDIRECT("'temp_data'!T:T"), ""), "")</f>
        <v/>
      </c>
      <c r="X28" s="11" t="str" cm="1">
        <f t="array" aca="1" ref="X28" ca="1">IFERROR(_xlfn.XLOOKUP(A28, INDIRECT("'temp_data'!A:A"), INDIRECT("'temp_data'!U:U"), ""), "")</f>
        <v/>
      </c>
      <c r="Y28" s="11" t="str" cm="1">
        <f t="array" aca="1" ref="Y28" ca="1">IFERROR(_xlfn.XLOOKUP(A28, INDIRECT("'temp_data'!A:A"), INDIRECT("'temp_data'!V:V"), ""), "")</f>
        <v/>
      </c>
      <c r="Z28" s="10"/>
      <c r="AA28" s="10"/>
    </row>
    <row r="29" spans="1:27" ht="15.3" x14ac:dyDescent="0.55000000000000004">
      <c r="A29" s="7" t="str" cm="1">
        <f t="array" aca="1" ref="A29" ca="1">IF(INDIRECT("'temp_data'!A" &amp; ROW(A27))="","",INDIRECT("'temp_data'!A" &amp; ROW(A27)))</f>
        <v/>
      </c>
      <c r="B29" s="8"/>
      <c r="C29" s="7"/>
      <c r="D29" s="7"/>
      <c r="E29" s="7" t="str" cm="1">
        <f t="array" aca="1" ref="E29" ca="1">IFERROR(_xlfn.XLOOKUP(A29, INDIRECT("'temp_data'!A:A"), INDIRECT("'temp_data'!B:B"), ""), "")</f>
        <v/>
      </c>
      <c r="F29" s="7" t="str" cm="1">
        <f t="array" aca="1" ref="F29" ca="1">IFERROR(_xlfn.XLOOKUP(A29, INDIRECT("'temp_data'!A:A"), INDIRECT("'temp_data'!G:G"), ""), "")</f>
        <v/>
      </c>
      <c r="G29" s="9" t="str" cm="1">
        <f t="array" aca="1" ref="G29" ca="1">IFERROR(_xlfn.XLOOKUP(A29, INDIRECT("'temp_data'!A:A"), INDIRECT("'temp_data'!C:C"), ""), "")</f>
        <v/>
      </c>
      <c r="H29" s="10" t="str" cm="1">
        <f t="array" aca="1" ref="H29" ca="1">IFERROR(_xlfn.XLOOKUP(A29, INDIRECT("'temp_data'!A:A"), INDIRECT("'temp_data'!H:H"), ""), "")</f>
        <v/>
      </c>
      <c r="I29" s="10" t="str" cm="1">
        <f t="array" aca="1" ref="I29" ca="1">IFERROR(_xlfn.XLOOKUP(A29, INDIRECT("'temp_data'!A:A"), INDIRECT("'temp_data'!I:I"), ""), "")</f>
        <v/>
      </c>
      <c r="J29" s="10" t="str" cm="1">
        <f t="array" aca="1" ref="J29" ca="1">IFERROR(_xlfn.XLOOKUP(A29, INDIRECT("'temp_data'!A:A"), INDIRECT("'temp_data'!J:J"), ""), "")</f>
        <v/>
      </c>
      <c r="K29" s="10" t="str" cm="1">
        <f t="array" aca="1" ref="K29" ca="1">IFERROR(_xlfn.XLOOKUP(A29, INDIRECT("'temp_data'!A:A"), INDIRECT("'temp_data'!K:K"), ""), "")</f>
        <v/>
      </c>
      <c r="L29" s="10" t="str" cm="1">
        <f t="array" aca="1" ref="L29" ca="1">IFERROR(_xlfn.XLOOKUP(A29, INDIRECT("'temp_data'!A:A"), INDIRECT("'temp_data'!L:L"), ""), "")</f>
        <v/>
      </c>
      <c r="M29" s="10" t="str" cm="1">
        <f t="array" aca="1" ref="M29" ca="1">IFERROR(_xlfn.XLOOKUP(A29, INDIRECT("'temp_data'!A:A"), INDIRECT("'temp_data'!M:M"), ""), "")</f>
        <v/>
      </c>
      <c r="N29" s="10" t="str" cm="1">
        <f t="array" aca="1" ref="N29" ca="1">IFERROR(_xlfn.XLOOKUP(A29, INDIRECT("'temp_data'!A:A"), INDIRECT("'temp_data'!N:N"), ""), "")</f>
        <v/>
      </c>
      <c r="O29" s="10" t="str" cm="1">
        <f t="array" aca="1" ref="O29" ca="1">IFERROR(_xlfn.XLOOKUP(A29, INDIRECT("'temp_data'!A:A"), INDIRECT("'temp_data'!D:D"), ""), "")</f>
        <v/>
      </c>
      <c r="P29" s="11" t="str" cm="1">
        <f t="array" aca="1" ref="P29" ca="1">IFERROR(_xlfn.XLOOKUP(A29, INDIRECT("'temp_data'!A:A"), INDIRECT("'temp_data'!E:E"), ""), "")</f>
        <v/>
      </c>
      <c r="Q29" s="11" t="str" cm="1">
        <f t="array" aca="1" ref="Q29" ca="1">IFERROR(_xlfn.XLOOKUP(A29, INDIRECT("'temp_data'!A:A"), INDIRECT("'temp_data'!F:F"), ""), "")</f>
        <v/>
      </c>
      <c r="R29" s="11" t="str" cm="1">
        <f t="array" aca="1" ref="R29" ca="1">IFERROR(_xlfn.XLOOKUP(A29, INDIRECT("'temp_data'!A:A"), INDIRECT("'temp_data'!O:O"), ""), "")</f>
        <v/>
      </c>
      <c r="S29" s="11" t="str" cm="1">
        <f t="array" aca="1" ref="S29" ca="1">IFERROR(_xlfn.XLOOKUP(A29, INDIRECT("'temp_data'!A:A"), INDIRECT("'temp_data'!Q:Q"), ""), "")</f>
        <v/>
      </c>
      <c r="T29" s="10" t="str" cm="1">
        <f t="array" aca="1" ref="T29" ca="1">IFERROR(_xlfn.XLOOKUP(A29, INDIRECT("'temp_data'!A:A"), INDIRECT("'temp_data'!P:P"), ""), "")</f>
        <v/>
      </c>
      <c r="U29" s="10" t="str" cm="1">
        <f t="array" aca="1" ref="U29" ca="1">IFERROR(_xlfn.XLOOKUP(A29, INDIRECT("'temp_data'!A:A"), INDIRECT("'temp_data'!R:R"), ""), "")</f>
        <v/>
      </c>
      <c r="V29" s="11" t="str" cm="1">
        <f t="array" aca="1" ref="V29" ca="1">IFERROR(_xlfn.XLOOKUP(A29, INDIRECT("'temp_data'!A:A"), INDIRECT("'temp_data'!S:S"), ""), "")</f>
        <v/>
      </c>
      <c r="W29" s="11" t="str" cm="1">
        <f t="array" aca="1" ref="W29" ca="1">IFERROR(_xlfn.XLOOKUP(A29, INDIRECT("'temp_data'!A:A"), INDIRECT("'temp_data'!T:T"), ""), "")</f>
        <v/>
      </c>
      <c r="X29" s="11" t="str" cm="1">
        <f t="array" aca="1" ref="X29" ca="1">IFERROR(_xlfn.XLOOKUP(A29, INDIRECT("'temp_data'!A:A"), INDIRECT("'temp_data'!U:U"), ""), "")</f>
        <v/>
      </c>
      <c r="Y29" s="11" t="str" cm="1">
        <f t="array" aca="1" ref="Y29" ca="1">IFERROR(_xlfn.XLOOKUP(A29, INDIRECT("'temp_data'!A:A"), INDIRECT("'temp_data'!V:V"), ""), "")</f>
        <v/>
      </c>
      <c r="Z29" s="10"/>
      <c r="AA29" s="10"/>
    </row>
    <row r="30" spans="1:27" ht="15.3" x14ac:dyDescent="0.55000000000000004">
      <c r="A30" s="7" t="str" cm="1">
        <f t="array" aca="1" ref="A30" ca="1">IF(INDIRECT("'temp_data'!A" &amp; ROW(A28))="","",INDIRECT("'temp_data'!A" &amp; ROW(A28)))</f>
        <v/>
      </c>
      <c r="B30" s="8"/>
      <c r="C30" s="7"/>
      <c r="D30" s="7"/>
      <c r="E30" s="7" t="str" cm="1">
        <f t="array" aca="1" ref="E30" ca="1">IFERROR(_xlfn.XLOOKUP(A30, INDIRECT("'temp_data'!A:A"), INDIRECT("'temp_data'!B:B"), ""), "")</f>
        <v/>
      </c>
      <c r="F30" s="7" t="str" cm="1">
        <f t="array" aca="1" ref="F30" ca="1">IFERROR(_xlfn.XLOOKUP(A30, INDIRECT("'temp_data'!A:A"), INDIRECT("'temp_data'!G:G"), ""), "")</f>
        <v/>
      </c>
      <c r="G30" s="9" t="str" cm="1">
        <f t="array" aca="1" ref="G30" ca="1">IFERROR(_xlfn.XLOOKUP(A30, INDIRECT("'temp_data'!A:A"), INDIRECT("'temp_data'!C:C"), ""), "")</f>
        <v/>
      </c>
      <c r="H30" s="10" t="str" cm="1">
        <f t="array" aca="1" ref="H30" ca="1">IFERROR(_xlfn.XLOOKUP(A30, INDIRECT("'temp_data'!A:A"), INDIRECT("'temp_data'!H:H"), ""), "")</f>
        <v/>
      </c>
      <c r="I30" s="10" t="str" cm="1">
        <f t="array" aca="1" ref="I30" ca="1">IFERROR(_xlfn.XLOOKUP(A30, INDIRECT("'temp_data'!A:A"), INDIRECT("'temp_data'!I:I"), ""), "")</f>
        <v/>
      </c>
      <c r="J30" s="10" t="str" cm="1">
        <f t="array" aca="1" ref="J30" ca="1">IFERROR(_xlfn.XLOOKUP(A30, INDIRECT("'temp_data'!A:A"), INDIRECT("'temp_data'!J:J"), ""), "")</f>
        <v/>
      </c>
      <c r="K30" s="10" t="str" cm="1">
        <f t="array" aca="1" ref="K30" ca="1">IFERROR(_xlfn.XLOOKUP(A30, INDIRECT("'temp_data'!A:A"), INDIRECT("'temp_data'!K:K"), ""), "")</f>
        <v/>
      </c>
      <c r="L30" s="10" t="str" cm="1">
        <f t="array" aca="1" ref="L30" ca="1">IFERROR(_xlfn.XLOOKUP(A30, INDIRECT("'temp_data'!A:A"), INDIRECT("'temp_data'!L:L"), ""), "")</f>
        <v/>
      </c>
      <c r="M30" s="10" t="str" cm="1">
        <f t="array" aca="1" ref="M30" ca="1">IFERROR(_xlfn.XLOOKUP(A30, INDIRECT("'temp_data'!A:A"), INDIRECT("'temp_data'!M:M"), ""), "")</f>
        <v/>
      </c>
      <c r="N30" s="10" t="str" cm="1">
        <f t="array" aca="1" ref="N30" ca="1">IFERROR(_xlfn.XLOOKUP(A30, INDIRECT("'temp_data'!A:A"), INDIRECT("'temp_data'!N:N"), ""), "")</f>
        <v/>
      </c>
      <c r="O30" s="10" t="str" cm="1">
        <f t="array" aca="1" ref="O30" ca="1">IFERROR(_xlfn.XLOOKUP(A30, INDIRECT("'temp_data'!A:A"), INDIRECT("'temp_data'!D:D"), ""), "")</f>
        <v/>
      </c>
      <c r="P30" s="11" t="str" cm="1">
        <f t="array" aca="1" ref="P30" ca="1">IFERROR(_xlfn.XLOOKUP(A30, INDIRECT("'temp_data'!A:A"), INDIRECT("'temp_data'!E:E"), ""), "")</f>
        <v/>
      </c>
      <c r="Q30" s="11" t="str" cm="1">
        <f t="array" aca="1" ref="Q30" ca="1">IFERROR(_xlfn.XLOOKUP(A30, INDIRECT("'temp_data'!A:A"), INDIRECT("'temp_data'!F:F"), ""), "")</f>
        <v/>
      </c>
      <c r="R30" s="11" t="str" cm="1">
        <f t="array" aca="1" ref="R30" ca="1">IFERROR(_xlfn.XLOOKUP(A30, INDIRECT("'temp_data'!A:A"), INDIRECT("'temp_data'!O:O"), ""), "")</f>
        <v/>
      </c>
      <c r="S30" s="11" t="str" cm="1">
        <f t="array" aca="1" ref="S30" ca="1">IFERROR(_xlfn.XLOOKUP(A30, INDIRECT("'temp_data'!A:A"), INDIRECT("'temp_data'!Q:Q"), ""), "")</f>
        <v/>
      </c>
      <c r="T30" s="10" t="str" cm="1">
        <f t="array" aca="1" ref="T30" ca="1">IFERROR(_xlfn.XLOOKUP(A30, INDIRECT("'temp_data'!A:A"), INDIRECT("'temp_data'!P:P"), ""), "")</f>
        <v/>
      </c>
      <c r="U30" s="10" t="str" cm="1">
        <f t="array" aca="1" ref="U30" ca="1">IFERROR(_xlfn.XLOOKUP(A30, INDIRECT("'temp_data'!A:A"), INDIRECT("'temp_data'!R:R"), ""), "")</f>
        <v/>
      </c>
      <c r="V30" s="11" t="str" cm="1">
        <f t="array" aca="1" ref="V30" ca="1">IFERROR(_xlfn.XLOOKUP(A30, INDIRECT("'temp_data'!A:A"), INDIRECT("'temp_data'!S:S"), ""), "")</f>
        <v/>
      </c>
      <c r="W30" s="11" t="str" cm="1">
        <f t="array" aca="1" ref="W30" ca="1">IFERROR(_xlfn.XLOOKUP(A30, INDIRECT("'temp_data'!A:A"), INDIRECT("'temp_data'!T:T"), ""), "")</f>
        <v/>
      </c>
      <c r="X30" s="11" t="str" cm="1">
        <f t="array" aca="1" ref="X30" ca="1">IFERROR(_xlfn.XLOOKUP(A30, INDIRECT("'temp_data'!A:A"), INDIRECT("'temp_data'!U:U"), ""), "")</f>
        <v/>
      </c>
      <c r="Y30" s="11" t="str" cm="1">
        <f t="array" aca="1" ref="Y30" ca="1">IFERROR(_xlfn.XLOOKUP(A30, INDIRECT("'temp_data'!A:A"), INDIRECT("'temp_data'!V:V"), ""), "")</f>
        <v/>
      </c>
      <c r="Z30" s="10"/>
      <c r="AA30" s="10"/>
    </row>
    <row r="31" spans="1:27" ht="15.3" x14ac:dyDescent="0.55000000000000004">
      <c r="A31" s="7"/>
      <c r="B31" s="8"/>
      <c r="C31" s="7"/>
      <c r="D31" s="7"/>
      <c r="E31" s="7" t="str" cm="1">
        <f t="array" aca="1" ref="E31" ca="1">IFERROR(_xlfn.XLOOKUP(A31, INDIRECT("'temp_data'!A:A"), INDIRECT("'temp_data'!B:B"), ""), "")</f>
        <v/>
      </c>
      <c r="F31" s="7" t="str" cm="1">
        <f t="array" aca="1" ref="F31" ca="1">IFERROR(_xlfn.XLOOKUP(A31, INDIRECT("'temp_data'!A:A"), INDIRECT("'temp_data'!G:G"), ""), "")</f>
        <v/>
      </c>
      <c r="G31" s="9" t="str" cm="1">
        <f t="array" aca="1" ref="G31" ca="1">IFERROR(_xlfn.XLOOKUP(A31, INDIRECT("'temp_data'!A:A"), INDIRECT("'temp_data'!C:C"), ""), "")</f>
        <v/>
      </c>
      <c r="H31" s="10" t="str" cm="1">
        <f t="array" aca="1" ref="H31" ca="1">IFERROR(_xlfn.XLOOKUP(A31, INDIRECT("'temp_data'!A:A"), INDIRECT("'temp_data'!H:H"), ""), "")</f>
        <v/>
      </c>
      <c r="I31" s="10" t="str" cm="1">
        <f t="array" aca="1" ref="I31" ca="1">IFERROR(_xlfn.XLOOKUP(A31, INDIRECT("'temp_data'!A:A"), INDIRECT("'temp_data'!I:I"), ""), "")</f>
        <v/>
      </c>
      <c r="J31" s="10" t="str" cm="1">
        <f t="array" aca="1" ref="J31" ca="1">IFERROR(_xlfn.XLOOKUP(A31, INDIRECT("'temp_data'!A:A"), INDIRECT("'temp_data'!J:J"), ""), "")</f>
        <v/>
      </c>
      <c r="K31" s="10" t="str" cm="1">
        <f t="array" aca="1" ref="K31" ca="1">IFERROR(_xlfn.XLOOKUP(A31, INDIRECT("'temp_data'!A:A"), INDIRECT("'temp_data'!K:K"), ""), "")</f>
        <v/>
      </c>
      <c r="L31" s="10" t="str" cm="1">
        <f t="array" aca="1" ref="L31" ca="1">IFERROR(_xlfn.XLOOKUP(A31, INDIRECT("'temp_data'!A:A"), INDIRECT("'temp_data'!L:L"), ""), "")</f>
        <v/>
      </c>
      <c r="M31" s="10" t="str" cm="1">
        <f t="array" aca="1" ref="M31" ca="1">IFERROR(_xlfn.XLOOKUP(A31, INDIRECT("'temp_data'!A:A"), INDIRECT("'temp_data'!M:M"), ""), "")</f>
        <v/>
      </c>
      <c r="N31" s="10" t="str" cm="1">
        <f t="array" aca="1" ref="N31" ca="1">IFERROR(_xlfn.XLOOKUP(A31, INDIRECT("'temp_data'!A:A"), INDIRECT("'temp_data'!N:N"), ""), "")</f>
        <v/>
      </c>
      <c r="O31" s="10" t="str" cm="1">
        <f t="array" aca="1" ref="O31" ca="1">IFERROR(_xlfn.XLOOKUP(A31, INDIRECT("'temp_data'!A:A"), INDIRECT("'temp_data'!D:D"), ""), "")</f>
        <v/>
      </c>
      <c r="P31" s="11" t="str" cm="1">
        <f t="array" aca="1" ref="P31" ca="1">IFERROR(_xlfn.XLOOKUP(A31, INDIRECT("'temp_data'!A:A"), INDIRECT("'temp_data'!E:E"), ""), "")</f>
        <v/>
      </c>
      <c r="Q31" s="11" t="str" cm="1">
        <f t="array" aca="1" ref="Q31" ca="1">IFERROR(_xlfn.XLOOKUP(A31, INDIRECT("'temp_data'!A:A"), INDIRECT("'temp_data'!F:F"), ""), "")</f>
        <v/>
      </c>
      <c r="R31" s="11" t="str" cm="1">
        <f t="array" aca="1" ref="R31" ca="1">IFERROR(_xlfn.XLOOKUP(A31, INDIRECT("'temp_data'!A:A"), INDIRECT("'temp_data'!O:O"), ""), "")</f>
        <v/>
      </c>
      <c r="S31" s="11" t="str" cm="1">
        <f t="array" aca="1" ref="S31" ca="1">IFERROR(_xlfn.XLOOKUP(A31, INDIRECT("'temp_data'!A:A"), INDIRECT("'temp_data'!Q:Q"), ""), "")</f>
        <v/>
      </c>
      <c r="T31" s="10" t="str" cm="1">
        <f t="array" aca="1" ref="T31" ca="1">IFERROR(_xlfn.XLOOKUP(A31, INDIRECT("'temp_data'!A:A"), INDIRECT("'temp_data'!P:P"), ""), "")</f>
        <v/>
      </c>
      <c r="U31" s="10" t="str" cm="1">
        <f t="array" aca="1" ref="U31" ca="1">IFERROR(_xlfn.XLOOKUP(A31, INDIRECT("'temp_data'!A:A"), INDIRECT("'temp_data'!R:R"), ""), "")</f>
        <v/>
      </c>
      <c r="V31" s="11" t="str" cm="1">
        <f t="array" aca="1" ref="V31" ca="1">IFERROR(_xlfn.XLOOKUP(A31, INDIRECT("'temp_data'!A:A"), INDIRECT("'temp_data'!S:S"), ""), "")</f>
        <v/>
      </c>
      <c r="W31" s="11" t="str" cm="1">
        <f t="array" aca="1" ref="W31" ca="1">IFERROR(_xlfn.XLOOKUP(A31, INDIRECT("'temp_data'!A:A"), INDIRECT("'temp_data'!T:T"), ""), "")</f>
        <v/>
      </c>
      <c r="X31" s="11" t="str" cm="1">
        <f t="array" aca="1" ref="X31" ca="1">IFERROR(_xlfn.XLOOKUP(A31, INDIRECT("'temp_data'!A:A"), INDIRECT("'temp_data'!U:U"), ""), "")</f>
        <v/>
      </c>
      <c r="Y31" s="11" t="str" cm="1">
        <f t="array" aca="1" ref="Y31" ca="1">IFERROR(_xlfn.XLOOKUP(A31, INDIRECT("'temp_data'!A:A"), INDIRECT("'temp_data'!V:V"), ""), "")</f>
        <v/>
      </c>
      <c r="Z31" s="10"/>
      <c r="AA31" s="10"/>
    </row>
    <row r="32" spans="1:27" ht="15.3" x14ac:dyDescent="0.55000000000000004">
      <c r="A32" s="7"/>
      <c r="B32" s="8"/>
      <c r="C32" s="7"/>
      <c r="D32" s="7"/>
      <c r="E32" s="7" t="str" cm="1">
        <f t="array" aca="1" ref="E32" ca="1">IFERROR(_xlfn.XLOOKUP(A32, INDIRECT("'temp_data'!A:A"), INDIRECT("'temp_data'!B:B"), ""), "")</f>
        <v/>
      </c>
      <c r="F32" s="7" t="str" cm="1">
        <f t="array" aca="1" ref="F32" ca="1">IFERROR(_xlfn.XLOOKUP(A32, INDIRECT("'temp_data'!A:A"), INDIRECT("'temp_data'!G:G"), ""), "")</f>
        <v/>
      </c>
      <c r="G32" s="9" t="str" cm="1">
        <f t="array" aca="1" ref="G32" ca="1">IFERROR(_xlfn.XLOOKUP(A32, INDIRECT("'temp_data'!A:A"), INDIRECT("'temp_data'!C:C"), ""), "")</f>
        <v/>
      </c>
      <c r="H32" s="10" t="str" cm="1">
        <f t="array" aca="1" ref="H32" ca="1">IFERROR(_xlfn.XLOOKUP(A32, INDIRECT("'temp_data'!A:A"), INDIRECT("'temp_data'!H:H"), ""), "")</f>
        <v/>
      </c>
      <c r="I32" s="10" t="str" cm="1">
        <f t="array" aca="1" ref="I32" ca="1">IFERROR(_xlfn.XLOOKUP(A32, INDIRECT("'temp_data'!A:A"), INDIRECT("'temp_data'!I:I"), ""), "")</f>
        <v/>
      </c>
      <c r="J32" s="10" t="str" cm="1">
        <f t="array" aca="1" ref="J32" ca="1">IFERROR(_xlfn.XLOOKUP(A32, INDIRECT("'temp_data'!A:A"), INDIRECT("'temp_data'!J:J"), ""), "")</f>
        <v/>
      </c>
      <c r="K32" s="10" t="str" cm="1">
        <f t="array" aca="1" ref="K32" ca="1">IFERROR(_xlfn.XLOOKUP(A32, INDIRECT("'temp_data'!A:A"), INDIRECT("'temp_data'!K:K"), ""), "")</f>
        <v/>
      </c>
      <c r="L32" s="10" t="str" cm="1">
        <f t="array" aca="1" ref="L32" ca="1">IFERROR(_xlfn.XLOOKUP(A32, INDIRECT("'temp_data'!A:A"), INDIRECT("'temp_data'!L:L"), ""), "")</f>
        <v/>
      </c>
      <c r="M32" s="10" t="str" cm="1">
        <f t="array" aca="1" ref="M32" ca="1">IFERROR(_xlfn.XLOOKUP(A32, INDIRECT("'temp_data'!A:A"), INDIRECT("'temp_data'!M:M"), ""), "")</f>
        <v/>
      </c>
      <c r="N32" s="10" t="str" cm="1">
        <f t="array" aca="1" ref="N32" ca="1">IFERROR(_xlfn.XLOOKUP(A32, INDIRECT("'temp_data'!A:A"), INDIRECT("'temp_data'!N:N"), ""), "")</f>
        <v/>
      </c>
      <c r="O32" s="10" t="str" cm="1">
        <f t="array" aca="1" ref="O32" ca="1">IFERROR(_xlfn.XLOOKUP(A32, INDIRECT("'temp_data'!A:A"), INDIRECT("'temp_data'!D:D"), ""), "")</f>
        <v/>
      </c>
      <c r="P32" s="11" t="str" cm="1">
        <f t="array" aca="1" ref="P32" ca="1">IFERROR(_xlfn.XLOOKUP(A32, INDIRECT("'temp_data'!A:A"), INDIRECT("'temp_data'!E:E"), ""), "")</f>
        <v/>
      </c>
      <c r="Q32" s="11" t="str" cm="1">
        <f t="array" aca="1" ref="Q32" ca="1">IFERROR(_xlfn.XLOOKUP(A32, INDIRECT("'temp_data'!A:A"), INDIRECT("'temp_data'!F:F"), ""), "")</f>
        <v/>
      </c>
      <c r="R32" s="11" t="str" cm="1">
        <f t="array" aca="1" ref="R32" ca="1">IFERROR(_xlfn.XLOOKUP(A32, INDIRECT("'temp_data'!A:A"), INDIRECT("'temp_data'!O:O"), ""), "")</f>
        <v/>
      </c>
      <c r="S32" s="11" t="str" cm="1">
        <f t="array" aca="1" ref="S32" ca="1">IFERROR(_xlfn.XLOOKUP(A32, INDIRECT("'temp_data'!A:A"), INDIRECT("'temp_data'!Q:Q"), ""), "")</f>
        <v/>
      </c>
      <c r="T32" s="10" t="str" cm="1">
        <f t="array" aca="1" ref="T32" ca="1">IFERROR(_xlfn.XLOOKUP(A32, INDIRECT("'temp_data'!A:A"), INDIRECT("'temp_data'!P:P"), ""), "")</f>
        <v/>
      </c>
      <c r="U32" s="10" t="str" cm="1">
        <f t="array" aca="1" ref="U32" ca="1">IFERROR(_xlfn.XLOOKUP(A32, INDIRECT("'temp_data'!A:A"), INDIRECT("'temp_data'!R:R"), ""), "")</f>
        <v/>
      </c>
      <c r="V32" s="11" t="str" cm="1">
        <f t="array" aca="1" ref="V32" ca="1">IFERROR(_xlfn.XLOOKUP(A32, INDIRECT("'temp_data'!A:A"), INDIRECT("'temp_data'!S:S"), ""), "")</f>
        <v/>
      </c>
      <c r="W32" s="11" t="str" cm="1">
        <f t="array" aca="1" ref="W32" ca="1">IFERROR(_xlfn.XLOOKUP(A32, INDIRECT("'temp_data'!A:A"), INDIRECT("'temp_data'!T:T"), ""), "")</f>
        <v/>
      </c>
      <c r="X32" s="11" t="str" cm="1">
        <f t="array" aca="1" ref="X32" ca="1">IFERROR(_xlfn.XLOOKUP(A32, INDIRECT("'temp_data'!A:A"), INDIRECT("'temp_data'!U:U"), ""), "")</f>
        <v/>
      </c>
      <c r="Y32" s="11" t="str" cm="1">
        <f t="array" aca="1" ref="Y32" ca="1">IFERROR(_xlfn.XLOOKUP(A32, INDIRECT("'temp_data'!A:A"), INDIRECT("'temp_data'!V:V"), ""), "")</f>
        <v/>
      </c>
      <c r="Z32" s="10"/>
      <c r="AA32" s="10"/>
    </row>
    <row r="33" spans="1:27" ht="15.3" x14ac:dyDescent="0.55000000000000004">
      <c r="A33" s="7" t="str" cm="1">
        <f t="array" aca="1" ref="A33" ca="1">IF(INDIRECT("'temp_data'!A" &amp; ROW(A31))="","",INDIRECT("'temp_data'!A" &amp; ROW(A31)))</f>
        <v/>
      </c>
      <c r="B33" s="8"/>
      <c r="C33" s="7"/>
      <c r="D33" s="7"/>
      <c r="E33" s="7" t="str" cm="1">
        <f t="array" aca="1" ref="E33" ca="1">IFERROR(_xlfn.XLOOKUP(A33, INDIRECT("'temp_data'!A:A"), INDIRECT("'temp_data'!B:B"), ""), "")</f>
        <v/>
      </c>
      <c r="F33" s="7" t="str" cm="1">
        <f t="array" aca="1" ref="F33" ca="1">IFERROR(_xlfn.XLOOKUP(A33, INDIRECT("'temp_data'!A:A"), INDIRECT("'temp_data'!G:G"), ""), "")</f>
        <v/>
      </c>
      <c r="G33" s="9" t="str" cm="1">
        <f t="array" aca="1" ref="G33" ca="1">IFERROR(_xlfn.XLOOKUP(A33, INDIRECT("'temp_data'!A:A"), INDIRECT("'temp_data'!C:C"), ""), "")</f>
        <v/>
      </c>
      <c r="H33" s="10" t="str" cm="1">
        <f t="array" aca="1" ref="H33" ca="1">IFERROR(_xlfn.XLOOKUP(A33, INDIRECT("'temp_data'!A:A"), INDIRECT("'temp_data'!H:H"), ""), "")</f>
        <v/>
      </c>
      <c r="I33" s="10" t="str" cm="1">
        <f t="array" aca="1" ref="I33" ca="1">IFERROR(_xlfn.XLOOKUP(A33, INDIRECT("'temp_data'!A:A"), INDIRECT("'temp_data'!I:I"), ""), "")</f>
        <v/>
      </c>
      <c r="J33" s="10" t="str" cm="1">
        <f t="array" aca="1" ref="J33" ca="1">IFERROR(_xlfn.XLOOKUP(A33, INDIRECT("'temp_data'!A:A"), INDIRECT("'temp_data'!J:J"), ""), "")</f>
        <v/>
      </c>
      <c r="K33" s="10" t="str" cm="1">
        <f t="array" aca="1" ref="K33" ca="1">IFERROR(_xlfn.XLOOKUP(A33, INDIRECT("'temp_data'!A:A"), INDIRECT("'temp_data'!K:K"), ""), "")</f>
        <v/>
      </c>
      <c r="L33" s="10" t="str" cm="1">
        <f t="array" aca="1" ref="L33" ca="1">IFERROR(_xlfn.XLOOKUP(A33, INDIRECT("'temp_data'!A:A"), INDIRECT("'temp_data'!L:L"), ""), "")</f>
        <v/>
      </c>
      <c r="M33" s="10" t="str" cm="1">
        <f t="array" aca="1" ref="M33" ca="1">IFERROR(_xlfn.XLOOKUP(A33, INDIRECT("'temp_data'!A:A"), INDIRECT("'temp_data'!M:M"), ""), "")</f>
        <v/>
      </c>
      <c r="N33" s="10" t="str" cm="1">
        <f t="array" aca="1" ref="N33" ca="1">IFERROR(_xlfn.XLOOKUP(A33, INDIRECT("'temp_data'!A:A"), INDIRECT("'temp_data'!N:N"), ""), "")</f>
        <v/>
      </c>
      <c r="O33" s="10" t="str" cm="1">
        <f t="array" aca="1" ref="O33" ca="1">IFERROR(_xlfn.XLOOKUP(A33, INDIRECT("'temp_data'!A:A"), INDIRECT("'temp_data'!D:D"), ""), "")</f>
        <v/>
      </c>
      <c r="P33" s="11" t="str" cm="1">
        <f t="array" aca="1" ref="P33" ca="1">IFERROR(_xlfn.XLOOKUP(A33, INDIRECT("'temp_data'!A:A"), INDIRECT("'temp_data'!E:E"), ""), "")</f>
        <v/>
      </c>
      <c r="Q33" s="11" t="str" cm="1">
        <f t="array" aca="1" ref="Q33" ca="1">IFERROR(_xlfn.XLOOKUP(A33, INDIRECT("'temp_data'!A:A"), INDIRECT("'temp_data'!F:F"), ""), "")</f>
        <v/>
      </c>
      <c r="R33" s="11" t="str" cm="1">
        <f t="array" aca="1" ref="R33" ca="1">IFERROR(_xlfn.XLOOKUP(A33, INDIRECT("'temp_data'!A:A"), INDIRECT("'temp_data'!O:O"), ""), "")</f>
        <v/>
      </c>
      <c r="S33" s="11" t="str" cm="1">
        <f t="array" aca="1" ref="S33" ca="1">IFERROR(_xlfn.XLOOKUP(A33, INDIRECT("'temp_data'!A:A"), INDIRECT("'temp_data'!Q:Q"), ""), "")</f>
        <v/>
      </c>
      <c r="T33" s="10" t="str" cm="1">
        <f t="array" aca="1" ref="T33" ca="1">IFERROR(_xlfn.XLOOKUP(A33, INDIRECT("'temp_data'!A:A"), INDIRECT("'temp_data'!P:P"), ""), "")</f>
        <v/>
      </c>
      <c r="U33" s="10" t="str" cm="1">
        <f t="array" aca="1" ref="U33" ca="1">IFERROR(_xlfn.XLOOKUP(A33, INDIRECT("'temp_data'!A:A"), INDIRECT("'temp_data'!R:R"), ""), "")</f>
        <v/>
      </c>
      <c r="V33" s="11" t="str" cm="1">
        <f t="array" aca="1" ref="V33" ca="1">IFERROR(_xlfn.XLOOKUP(A33, INDIRECT("'temp_data'!A:A"), INDIRECT("'temp_data'!S:S"), ""), "")</f>
        <v/>
      </c>
      <c r="W33" s="11" t="str" cm="1">
        <f t="array" aca="1" ref="W33" ca="1">IFERROR(_xlfn.XLOOKUP(A33, INDIRECT("'temp_data'!A:A"), INDIRECT("'temp_data'!T:T"), ""), "")</f>
        <v/>
      </c>
      <c r="X33" s="11" t="str" cm="1">
        <f t="array" aca="1" ref="X33" ca="1">IFERROR(_xlfn.XLOOKUP(A33, INDIRECT("'temp_data'!A:A"), INDIRECT("'temp_data'!U:U"), ""), "")</f>
        <v/>
      </c>
      <c r="Y33" s="11" t="str" cm="1">
        <f t="array" aca="1" ref="Y33" ca="1">IFERROR(_xlfn.XLOOKUP(A33, INDIRECT("'temp_data'!A:A"), INDIRECT("'temp_data'!V:V"), ""), "")</f>
        <v/>
      </c>
      <c r="Z33" s="10"/>
      <c r="AA33" s="10"/>
    </row>
    <row r="34" spans="1:27" ht="15.3" x14ac:dyDescent="0.55000000000000004">
      <c r="A34" s="7" t="str" cm="1">
        <f t="array" aca="1" ref="A34" ca="1">IF(INDIRECT("'temp_data'!A" &amp; ROW(A32))="","",INDIRECT("'temp_data'!A" &amp; ROW(A32)))</f>
        <v/>
      </c>
      <c r="B34" s="8"/>
      <c r="C34" s="7"/>
      <c r="D34" s="7"/>
      <c r="E34" s="7" t="str" cm="1">
        <f t="array" aca="1" ref="E34" ca="1">IFERROR(_xlfn.XLOOKUP(A34, INDIRECT("'temp_data'!A:A"), INDIRECT("'temp_data'!B:B"), ""), "")</f>
        <v/>
      </c>
      <c r="F34" s="7" t="str" cm="1">
        <f t="array" aca="1" ref="F34" ca="1">IFERROR(_xlfn.XLOOKUP(A34, INDIRECT("'temp_data'!A:A"), INDIRECT("'temp_data'!G:G"), ""), "")</f>
        <v/>
      </c>
      <c r="G34" s="9" t="str" cm="1">
        <f t="array" aca="1" ref="G34" ca="1">IFERROR(_xlfn.XLOOKUP(A34, INDIRECT("'temp_data'!A:A"), INDIRECT("'temp_data'!C:C"), ""), "")</f>
        <v/>
      </c>
      <c r="H34" s="10" t="str" cm="1">
        <f t="array" aca="1" ref="H34" ca="1">IFERROR(_xlfn.XLOOKUP(A34, INDIRECT("'temp_data'!A:A"), INDIRECT("'temp_data'!H:H"), ""), "")</f>
        <v/>
      </c>
      <c r="I34" s="10" t="str" cm="1">
        <f t="array" aca="1" ref="I34" ca="1">IFERROR(_xlfn.XLOOKUP(A34, INDIRECT("'temp_data'!A:A"), INDIRECT("'temp_data'!I:I"), ""), "")</f>
        <v/>
      </c>
      <c r="J34" s="10" t="str" cm="1">
        <f t="array" aca="1" ref="J34" ca="1">IFERROR(_xlfn.XLOOKUP(A34, INDIRECT("'temp_data'!A:A"), INDIRECT("'temp_data'!J:J"), ""), "")</f>
        <v/>
      </c>
      <c r="K34" s="10" t="str" cm="1">
        <f t="array" aca="1" ref="K34" ca="1">IFERROR(_xlfn.XLOOKUP(A34, INDIRECT("'temp_data'!A:A"), INDIRECT("'temp_data'!K:K"), ""), "")</f>
        <v/>
      </c>
      <c r="L34" s="10" t="str" cm="1">
        <f t="array" aca="1" ref="L34" ca="1">IFERROR(_xlfn.XLOOKUP(A34, INDIRECT("'temp_data'!A:A"), INDIRECT("'temp_data'!L:L"), ""), "")</f>
        <v/>
      </c>
      <c r="M34" s="10" t="str" cm="1">
        <f t="array" aca="1" ref="M34" ca="1">IFERROR(_xlfn.XLOOKUP(A34, INDIRECT("'temp_data'!A:A"), INDIRECT("'temp_data'!M:M"), ""), "")</f>
        <v/>
      </c>
      <c r="N34" s="10" t="str" cm="1">
        <f t="array" aca="1" ref="N34" ca="1">IFERROR(_xlfn.XLOOKUP(A34, INDIRECT("'temp_data'!A:A"), INDIRECT("'temp_data'!N:N"), ""), "")</f>
        <v/>
      </c>
      <c r="O34" s="10" t="str" cm="1">
        <f t="array" aca="1" ref="O34" ca="1">IFERROR(_xlfn.XLOOKUP(A34, INDIRECT("'temp_data'!A:A"), INDIRECT("'temp_data'!D:D"), ""), "")</f>
        <v/>
      </c>
      <c r="P34" s="11" t="str" cm="1">
        <f t="array" aca="1" ref="P34" ca="1">IFERROR(_xlfn.XLOOKUP(A34, INDIRECT("'temp_data'!A:A"), INDIRECT("'temp_data'!E:E"), ""), "")</f>
        <v/>
      </c>
      <c r="Q34" s="11" t="str" cm="1">
        <f t="array" aca="1" ref="Q34" ca="1">IFERROR(_xlfn.XLOOKUP(A34, INDIRECT("'temp_data'!A:A"), INDIRECT("'temp_data'!F:F"), ""), "")</f>
        <v/>
      </c>
      <c r="R34" s="11" t="str" cm="1">
        <f t="array" aca="1" ref="R34" ca="1">IFERROR(_xlfn.XLOOKUP(A34, INDIRECT("'temp_data'!A:A"), INDIRECT("'temp_data'!O:O"), ""), "")</f>
        <v/>
      </c>
      <c r="S34" s="11" t="str" cm="1">
        <f t="array" aca="1" ref="S34" ca="1">IFERROR(_xlfn.XLOOKUP(A34, INDIRECT("'temp_data'!A:A"), INDIRECT("'temp_data'!Q:Q"), ""), "")</f>
        <v/>
      </c>
      <c r="T34" s="10" t="str" cm="1">
        <f t="array" aca="1" ref="T34" ca="1">IFERROR(_xlfn.XLOOKUP(A34, INDIRECT("'temp_data'!A:A"), INDIRECT("'temp_data'!P:P"), ""), "")</f>
        <v/>
      </c>
      <c r="U34" s="10" t="str" cm="1">
        <f t="array" aca="1" ref="U34" ca="1">IFERROR(_xlfn.XLOOKUP(A34, INDIRECT("'temp_data'!A:A"), INDIRECT("'temp_data'!R:R"), ""), "")</f>
        <v/>
      </c>
      <c r="V34" s="11" t="str" cm="1">
        <f t="array" aca="1" ref="V34" ca="1">IFERROR(_xlfn.XLOOKUP(A34, INDIRECT("'temp_data'!A:A"), INDIRECT("'temp_data'!S:S"), ""), "")</f>
        <v/>
      </c>
      <c r="W34" s="11" t="str" cm="1">
        <f t="array" aca="1" ref="W34" ca="1">IFERROR(_xlfn.XLOOKUP(A34, INDIRECT("'temp_data'!A:A"), INDIRECT("'temp_data'!T:T"), ""), "")</f>
        <v/>
      </c>
      <c r="X34" s="11" t="str" cm="1">
        <f t="array" aca="1" ref="X34" ca="1">IFERROR(_xlfn.XLOOKUP(A34, INDIRECT("'temp_data'!A:A"), INDIRECT("'temp_data'!U:U"), ""), "")</f>
        <v/>
      </c>
      <c r="Y34" s="11" t="str" cm="1">
        <f t="array" aca="1" ref="Y34" ca="1">IFERROR(_xlfn.XLOOKUP(A34, INDIRECT("'temp_data'!A:A"), INDIRECT("'temp_data'!V:V"), ""), "")</f>
        <v/>
      </c>
      <c r="Z34" s="10"/>
      <c r="AA34" s="10"/>
    </row>
    <row r="35" spans="1:27" ht="15.3" x14ac:dyDescent="0.55000000000000004">
      <c r="A35" s="7" t="str" cm="1">
        <f t="array" aca="1" ref="A35" ca="1">IF(INDIRECT("'temp_data'!A" &amp; ROW(A33))="","",INDIRECT("'temp_data'!A" &amp; ROW(A33)))</f>
        <v/>
      </c>
      <c r="B35" s="8"/>
      <c r="C35" s="7"/>
      <c r="D35" s="7"/>
      <c r="E35" s="7" t="str" cm="1">
        <f t="array" aca="1" ref="E35" ca="1">IFERROR(_xlfn.XLOOKUP(A35, INDIRECT("'temp_data'!A:A"), INDIRECT("'temp_data'!B:B"), ""), "")</f>
        <v/>
      </c>
      <c r="F35" s="7" t="str" cm="1">
        <f t="array" aca="1" ref="F35" ca="1">IFERROR(_xlfn.XLOOKUP(A35, INDIRECT("'temp_data'!A:A"), INDIRECT("'temp_data'!G:G"), ""), "")</f>
        <v/>
      </c>
      <c r="G35" s="9" t="str" cm="1">
        <f t="array" aca="1" ref="G35" ca="1">IFERROR(_xlfn.XLOOKUP(A35, INDIRECT("'temp_data'!A:A"), INDIRECT("'temp_data'!C:C"), ""), "")</f>
        <v/>
      </c>
      <c r="H35" s="10" t="str" cm="1">
        <f t="array" aca="1" ref="H35" ca="1">IFERROR(_xlfn.XLOOKUP(A35, INDIRECT("'temp_data'!A:A"), INDIRECT("'temp_data'!H:H"), ""), "")</f>
        <v/>
      </c>
      <c r="I35" s="10" t="str" cm="1">
        <f t="array" aca="1" ref="I35" ca="1">IFERROR(_xlfn.XLOOKUP(A35, INDIRECT("'temp_data'!A:A"), INDIRECT("'temp_data'!I:I"), ""), "")</f>
        <v/>
      </c>
      <c r="J35" s="10" t="str" cm="1">
        <f t="array" aca="1" ref="J35" ca="1">IFERROR(_xlfn.XLOOKUP(A35, INDIRECT("'temp_data'!A:A"), INDIRECT("'temp_data'!J:J"), ""), "")</f>
        <v/>
      </c>
      <c r="K35" s="10" t="str" cm="1">
        <f t="array" aca="1" ref="K35" ca="1">IFERROR(_xlfn.XLOOKUP(A35, INDIRECT("'temp_data'!A:A"), INDIRECT("'temp_data'!K:K"), ""), "")</f>
        <v/>
      </c>
      <c r="L35" s="10" t="str" cm="1">
        <f t="array" aca="1" ref="L35" ca="1">IFERROR(_xlfn.XLOOKUP(A35, INDIRECT("'temp_data'!A:A"), INDIRECT("'temp_data'!L:L"), ""), "")</f>
        <v/>
      </c>
      <c r="M35" s="10" t="str" cm="1">
        <f t="array" aca="1" ref="M35" ca="1">IFERROR(_xlfn.XLOOKUP(A35, INDIRECT("'temp_data'!A:A"), INDIRECT("'temp_data'!M:M"), ""), "")</f>
        <v/>
      </c>
      <c r="N35" s="10" t="str" cm="1">
        <f t="array" aca="1" ref="N35" ca="1">IFERROR(_xlfn.XLOOKUP(A35, INDIRECT("'temp_data'!A:A"), INDIRECT("'temp_data'!N:N"), ""), "")</f>
        <v/>
      </c>
      <c r="O35" s="10" t="str" cm="1">
        <f t="array" aca="1" ref="O35" ca="1">IFERROR(_xlfn.XLOOKUP(A35, INDIRECT("'temp_data'!A:A"), INDIRECT("'temp_data'!D:D"), ""), "")</f>
        <v/>
      </c>
      <c r="P35" s="11" t="str" cm="1">
        <f t="array" aca="1" ref="P35" ca="1">IFERROR(_xlfn.XLOOKUP(A35, INDIRECT("'temp_data'!A:A"), INDIRECT("'temp_data'!E:E"), ""), "")</f>
        <v/>
      </c>
      <c r="Q35" s="11" t="str" cm="1">
        <f t="array" aca="1" ref="Q35" ca="1">IFERROR(_xlfn.XLOOKUP(A35, INDIRECT("'temp_data'!A:A"), INDIRECT("'temp_data'!F:F"), ""), "")</f>
        <v/>
      </c>
      <c r="R35" s="11" t="str" cm="1">
        <f t="array" aca="1" ref="R35" ca="1">IFERROR(_xlfn.XLOOKUP(A35, INDIRECT("'temp_data'!A:A"), INDIRECT("'temp_data'!O:O"), ""), "")</f>
        <v/>
      </c>
      <c r="S35" s="11" t="str" cm="1">
        <f t="array" aca="1" ref="S35" ca="1">IFERROR(_xlfn.XLOOKUP(A35, INDIRECT("'temp_data'!A:A"), INDIRECT("'temp_data'!Q:Q"), ""), "")</f>
        <v/>
      </c>
      <c r="T35" s="10" t="str" cm="1">
        <f t="array" aca="1" ref="T35" ca="1">IFERROR(_xlfn.XLOOKUP(A35, INDIRECT("'temp_data'!A:A"), INDIRECT("'temp_data'!P:P"), ""), "")</f>
        <v/>
      </c>
      <c r="U35" s="10" t="str" cm="1">
        <f t="array" aca="1" ref="U35" ca="1">IFERROR(_xlfn.XLOOKUP(A35, INDIRECT("'temp_data'!A:A"), INDIRECT("'temp_data'!R:R"), ""), "")</f>
        <v/>
      </c>
      <c r="V35" s="11" t="str" cm="1">
        <f t="array" aca="1" ref="V35" ca="1">IFERROR(_xlfn.XLOOKUP(A35, INDIRECT("'temp_data'!A:A"), INDIRECT("'temp_data'!S:S"), ""), "")</f>
        <v/>
      </c>
      <c r="W35" s="11" t="str" cm="1">
        <f t="array" aca="1" ref="W35" ca="1">IFERROR(_xlfn.XLOOKUP(A35, INDIRECT("'temp_data'!A:A"), INDIRECT("'temp_data'!T:T"), ""), "")</f>
        <v/>
      </c>
      <c r="X35" s="11" t="str" cm="1">
        <f t="array" aca="1" ref="X35" ca="1">IFERROR(_xlfn.XLOOKUP(A35, INDIRECT("'temp_data'!A:A"), INDIRECT("'temp_data'!U:U"), ""), "")</f>
        <v/>
      </c>
      <c r="Y35" s="11" t="str" cm="1">
        <f t="array" aca="1" ref="Y35" ca="1">IFERROR(_xlfn.XLOOKUP(A35, INDIRECT("'temp_data'!A:A"), INDIRECT("'temp_data'!V:V"), ""), "")</f>
        <v/>
      </c>
      <c r="Z35" s="10"/>
      <c r="AA35" s="10"/>
    </row>
    <row r="36" spans="1:27" ht="15.3" x14ac:dyDescent="0.55000000000000004">
      <c r="A36" s="7" t="str" cm="1">
        <f t="array" aca="1" ref="A36" ca="1">IF(INDIRECT("'temp_data'!A" &amp; ROW(A34))="","",INDIRECT("'temp_data'!A" &amp; ROW(A34)))</f>
        <v/>
      </c>
      <c r="B36" s="8"/>
      <c r="C36" s="7"/>
      <c r="D36" s="7"/>
      <c r="E36" s="7" t="str" cm="1">
        <f t="array" aca="1" ref="E36" ca="1">IFERROR(_xlfn.XLOOKUP(A36, INDIRECT("'temp_data'!A:A"), INDIRECT("'temp_data'!B:B"), ""), "")</f>
        <v/>
      </c>
      <c r="F36" s="7" t="str" cm="1">
        <f t="array" aca="1" ref="F36" ca="1">IFERROR(_xlfn.XLOOKUP(A36, INDIRECT("'temp_data'!A:A"), INDIRECT("'temp_data'!G:G"), ""), "")</f>
        <v/>
      </c>
      <c r="G36" s="9" t="str" cm="1">
        <f t="array" aca="1" ref="G36" ca="1">IFERROR(_xlfn.XLOOKUP(A36, INDIRECT("'temp_data'!A:A"), INDIRECT("'temp_data'!C:C"), ""), "")</f>
        <v/>
      </c>
      <c r="H36" s="10" t="str" cm="1">
        <f t="array" aca="1" ref="H36" ca="1">IFERROR(_xlfn.XLOOKUP(A36, INDIRECT("'temp_data'!A:A"), INDIRECT("'temp_data'!H:H"), ""), "")</f>
        <v/>
      </c>
      <c r="I36" s="10" t="str" cm="1">
        <f t="array" aca="1" ref="I36" ca="1">IFERROR(_xlfn.XLOOKUP(A36, INDIRECT("'temp_data'!A:A"), INDIRECT("'temp_data'!I:I"), ""), "")</f>
        <v/>
      </c>
      <c r="J36" s="10" t="str" cm="1">
        <f t="array" aca="1" ref="J36" ca="1">IFERROR(_xlfn.XLOOKUP(A36, INDIRECT("'temp_data'!A:A"), INDIRECT("'temp_data'!J:J"), ""), "")</f>
        <v/>
      </c>
      <c r="K36" s="10" t="str" cm="1">
        <f t="array" aca="1" ref="K36" ca="1">IFERROR(_xlfn.XLOOKUP(A36, INDIRECT("'temp_data'!A:A"), INDIRECT("'temp_data'!K:K"), ""), "")</f>
        <v/>
      </c>
      <c r="L36" s="10" t="str" cm="1">
        <f t="array" aca="1" ref="L36" ca="1">IFERROR(_xlfn.XLOOKUP(A36, INDIRECT("'temp_data'!A:A"), INDIRECT("'temp_data'!L:L"), ""), "")</f>
        <v/>
      </c>
      <c r="M36" s="10" t="str" cm="1">
        <f t="array" aca="1" ref="M36" ca="1">IFERROR(_xlfn.XLOOKUP(A36, INDIRECT("'temp_data'!A:A"), INDIRECT("'temp_data'!M:M"), ""), "")</f>
        <v/>
      </c>
      <c r="N36" s="10" t="str" cm="1">
        <f t="array" aca="1" ref="N36" ca="1">IFERROR(_xlfn.XLOOKUP(A36, INDIRECT("'temp_data'!A:A"), INDIRECT("'temp_data'!N:N"), ""), "")</f>
        <v/>
      </c>
      <c r="O36" s="10" t="str" cm="1">
        <f t="array" aca="1" ref="O36" ca="1">IFERROR(_xlfn.XLOOKUP(A36, INDIRECT("'temp_data'!A:A"), INDIRECT("'temp_data'!D:D"), ""), "")</f>
        <v/>
      </c>
      <c r="P36" s="11" t="str" cm="1">
        <f t="array" aca="1" ref="P36" ca="1">IFERROR(_xlfn.XLOOKUP(A36, INDIRECT("'temp_data'!A:A"), INDIRECT("'temp_data'!E:E"), ""), "")</f>
        <v/>
      </c>
      <c r="Q36" s="11" t="str" cm="1">
        <f t="array" aca="1" ref="Q36" ca="1">IFERROR(_xlfn.XLOOKUP(A36, INDIRECT("'temp_data'!A:A"), INDIRECT("'temp_data'!F:F"), ""), "")</f>
        <v/>
      </c>
      <c r="R36" s="11" t="str" cm="1">
        <f t="array" aca="1" ref="R36" ca="1">IFERROR(_xlfn.XLOOKUP(A36, INDIRECT("'temp_data'!A:A"), INDIRECT("'temp_data'!O:O"), ""), "")</f>
        <v/>
      </c>
      <c r="S36" s="11" t="str" cm="1">
        <f t="array" aca="1" ref="S36" ca="1">IFERROR(_xlfn.XLOOKUP(A36, INDIRECT("'temp_data'!A:A"), INDIRECT("'temp_data'!Q:Q"), ""), "")</f>
        <v/>
      </c>
      <c r="T36" s="10" t="str" cm="1">
        <f t="array" aca="1" ref="T36" ca="1">IFERROR(_xlfn.XLOOKUP(A36, INDIRECT("'temp_data'!A:A"), INDIRECT("'temp_data'!P:P"), ""), "")</f>
        <v/>
      </c>
      <c r="U36" s="10" t="str" cm="1">
        <f t="array" aca="1" ref="U36" ca="1">IFERROR(_xlfn.XLOOKUP(A36, INDIRECT("'temp_data'!A:A"), INDIRECT("'temp_data'!R:R"), ""), "")</f>
        <v/>
      </c>
      <c r="V36" s="11" t="str" cm="1">
        <f t="array" aca="1" ref="V36" ca="1">IFERROR(_xlfn.XLOOKUP(A36, INDIRECT("'temp_data'!A:A"), INDIRECT("'temp_data'!S:S"), ""), "")</f>
        <v/>
      </c>
      <c r="W36" s="11" t="str" cm="1">
        <f t="array" aca="1" ref="W36" ca="1">IFERROR(_xlfn.XLOOKUP(A36, INDIRECT("'temp_data'!A:A"), INDIRECT("'temp_data'!T:T"), ""), "")</f>
        <v/>
      </c>
      <c r="X36" s="11" t="str" cm="1">
        <f t="array" aca="1" ref="X36" ca="1">IFERROR(_xlfn.XLOOKUP(A36, INDIRECT("'temp_data'!A:A"), INDIRECT("'temp_data'!U:U"), ""), "")</f>
        <v/>
      </c>
      <c r="Y36" s="11" t="str" cm="1">
        <f t="array" aca="1" ref="Y36" ca="1">IFERROR(_xlfn.XLOOKUP(A36, INDIRECT("'temp_data'!A:A"), INDIRECT("'temp_data'!V:V"), ""), "")</f>
        <v/>
      </c>
      <c r="Z36" s="10"/>
      <c r="AA36" s="10"/>
    </row>
    <row r="37" spans="1:27" ht="15.3" x14ac:dyDescent="0.55000000000000004">
      <c r="A37" s="7" t="str" cm="1">
        <f t="array" aca="1" ref="A37" ca="1">IF(INDIRECT("'temp_data'!A" &amp; ROW(A35))="","",INDIRECT("'temp_data'!A" &amp; ROW(A35)))</f>
        <v/>
      </c>
      <c r="B37" s="8"/>
      <c r="C37" s="7"/>
      <c r="D37" s="7"/>
      <c r="E37" s="7" t="str" cm="1">
        <f t="array" aca="1" ref="E37" ca="1">IFERROR(_xlfn.XLOOKUP(A37, INDIRECT("'temp_data'!A:A"), INDIRECT("'temp_data'!B:B"), ""), "")</f>
        <v/>
      </c>
      <c r="F37" s="7" t="str" cm="1">
        <f t="array" aca="1" ref="F37" ca="1">IFERROR(_xlfn.XLOOKUP(A37, INDIRECT("'temp_data'!A:A"), INDIRECT("'temp_data'!G:G"), ""), "")</f>
        <v/>
      </c>
      <c r="G37" s="9" t="str" cm="1">
        <f t="array" aca="1" ref="G37" ca="1">IFERROR(_xlfn.XLOOKUP(A37, INDIRECT("'temp_data'!A:A"), INDIRECT("'temp_data'!C:C"), ""), "")</f>
        <v/>
      </c>
      <c r="H37" s="10" t="str" cm="1">
        <f t="array" aca="1" ref="H37" ca="1">IFERROR(_xlfn.XLOOKUP(A37, INDIRECT("'temp_data'!A:A"), INDIRECT("'temp_data'!H:H"), ""), "")</f>
        <v/>
      </c>
      <c r="I37" s="10" t="str" cm="1">
        <f t="array" aca="1" ref="I37" ca="1">IFERROR(_xlfn.XLOOKUP(A37, INDIRECT("'temp_data'!A:A"), INDIRECT("'temp_data'!I:I"), ""), "")</f>
        <v/>
      </c>
      <c r="J37" s="10" t="str" cm="1">
        <f t="array" aca="1" ref="J37" ca="1">IFERROR(_xlfn.XLOOKUP(A37, INDIRECT("'temp_data'!A:A"), INDIRECT("'temp_data'!J:J"), ""), "")</f>
        <v/>
      </c>
      <c r="K37" s="10" t="str" cm="1">
        <f t="array" aca="1" ref="K37" ca="1">IFERROR(_xlfn.XLOOKUP(A37, INDIRECT("'temp_data'!A:A"), INDIRECT("'temp_data'!K:K"), ""), "")</f>
        <v/>
      </c>
      <c r="L37" s="10" t="str" cm="1">
        <f t="array" aca="1" ref="L37" ca="1">IFERROR(_xlfn.XLOOKUP(A37, INDIRECT("'temp_data'!A:A"), INDIRECT("'temp_data'!L:L"), ""), "")</f>
        <v/>
      </c>
      <c r="M37" s="10" t="str" cm="1">
        <f t="array" aca="1" ref="M37" ca="1">IFERROR(_xlfn.XLOOKUP(A37, INDIRECT("'temp_data'!A:A"), INDIRECT("'temp_data'!M:M"), ""), "")</f>
        <v/>
      </c>
      <c r="N37" s="10" t="str" cm="1">
        <f t="array" aca="1" ref="N37" ca="1">IFERROR(_xlfn.XLOOKUP(A37, INDIRECT("'temp_data'!A:A"), INDIRECT("'temp_data'!N:N"), ""), "")</f>
        <v/>
      </c>
      <c r="O37" s="10" t="str" cm="1">
        <f t="array" aca="1" ref="O37" ca="1">IFERROR(_xlfn.XLOOKUP(A37, INDIRECT("'temp_data'!A:A"), INDIRECT("'temp_data'!D:D"), ""), "")</f>
        <v/>
      </c>
      <c r="P37" s="11" t="str" cm="1">
        <f t="array" aca="1" ref="P37" ca="1">IFERROR(_xlfn.XLOOKUP(A37, INDIRECT("'temp_data'!A:A"), INDIRECT("'temp_data'!E:E"), ""), "")</f>
        <v/>
      </c>
      <c r="Q37" s="11" t="str" cm="1">
        <f t="array" aca="1" ref="Q37" ca="1">IFERROR(_xlfn.XLOOKUP(A37, INDIRECT("'temp_data'!A:A"), INDIRECT("'temp_data'!F:F"), ""), "")</f>
        <v/>
      </c>
      <c r="R37" s="11" t="str" cm="1">
        <f t="array" aca="1" ref="R37" ca="1">IFERROR(_xlfn.XLOOKUP(A37, INDIRECT("'temp_data'!A:A"), INDIRECT("'temp_data'!O:O"), ""), "")</f>
        <v/>
      </c>
      <c r="S37" s="11" t="str" cm="1">
        <f t="array" aca="1" ref="S37" ca="1">IFERROR(_xlfn.XLOOKUP(A37, INDIRECT("'temp_data'!A:A"), INDIRECT("'temp_data'!Q:Q"), ""), "")</f>
        <v/>
      </c>
      <c r="T37" s="10" t="str" cm="1">
        <f t="array" aca="1" ref="T37" ca="1">IFERROR(_xlfn.XLOOKUP(A37, INDIRECT("'temp_data'!A:A"), INDIRECT("'temp_data'!P:P"), ""), "")</f>
        <v/>
      </c>
      <c r="U37" s="10" t="str" cm="1">
        <f t="array" aca="1" ref="U37" ca="1">IFERROR(_xlfn.XLOOKUP(A37, INDIRECT("'temp_data'!A:A"), INDIRECT("'temp_data'!R:R"), ""), "")</f>
        <v/>
      </c>
      <c r="V37" s="11" t="str" cm="1">
        <f t="array" aca="1" ref="V37" ca="1">IFERROR(_xlfn.XLOOKUP(A37, INDIRECT("'temp_data'!A:A"), INDIRECT("'temp_data'!S:S"), ""), "")</f>
        <v/>
      </c>
      <c r="W37" s="11" t="str" cm="1">
        <f t="array" aca="1" ref="W37" ca="1">IFERROR(_xlfn.XLOOKUP(A37, INDIRECT("'temp_data'!A:A"), INDIRECT("'temp_data'!T:T"), ""), "")</f>
        <v/>
      </c>
      <c r="X37" s="11" t="str" cm="1">
        <f t="array" aca="1" ref="X37" ca="1">IFERROR(_xlfn.XLOOKUP(A37, INDIRECT("'temp_data'!A:A"), INDIRECT("'temp_data'!U:U"), ""), "")</f>
        <v/>
      </c>
      <c r="Y37" s="11" t="str" cm="1">
        <f t="array" aca="1" ref="Y37" ca="1">IFERROR(_xlfn.XLOOKUP(A37, INDIRECT("'temp_data'!A:A"), INDIRECT("'temp_data'!V:V"), ""), "")</f>
        <v/>
      </c>
      <c r="Z37" s="10"/>
      <c r="AA37" s="10"/>
    </row>
    <row r="38" spans="1:27" ht="15.3" x14ac:dyDescent="0.55000000000000004">
      <c r="A38" s="7" t="str" cm="1">
        <f t="array" aca="1" ref="A38" ca="1">IF(INDIRECT("'temp_data'!A" &amp; ROW(A36))="","",INDIRECT("'temp_data'!A" &amp; ROW(A36)))</f>
        <v/>
      </c>
      <c r="B38" s="8"/>
      <c r="C38" s="7"/>
      <c r="D38" s="7"/>
      <c r="E38" s="7" t="str" cm="1">
        <f t="array" aca="1" ref="E38" ca="1">IFERROR(_xlfn.XLOOKUP(A38, INDIRECT("'temp_data'!A:A"), INDIRECT("'temp_data'!B:B"), ""), "")</f>
        <v/>
      </c>
      <c r="F38" s="7" t="str" cm="1">
        <f t="array" aca="1" ref="F38" ca="1">IFERROR(_xlfn.XLOOKUP(A38, INDIRECT("'temp_data'!A:A"), INDIRECT("'temp_data'!G:G"), ""), "")</f>
        <v/>
      </c>
      <c r="G38" s="9" t="str" cm="1">
        <f t="array" aca="1" ref="G38" ca="1">IFERROR(_xlfn.XLOOKUP(A38, INDIRECT("'temp_data'!A:A"), INDIRECT("'temp_data'!C:C"), ""), "")</f>
        <v/>
      </c>
      <c r="H38" s="10" t="str" cm="1">
        <f t="array" aca="1" ref="H38" ca="1">IFERROR(_xlfn.XLOOKUP(A38, INDIRECT("'temp_data'!A:A"), INDIRECT("'temp_data'!H:H"), ""), "")</f>
        <v/>
      </c>
      <c r="I38" s="10" t="str" cm="1">
        <f t="array" aca="1" ref="I38" ca="1">IFERROR(_xlfn.XLOOKUP(A38, INDIRECT("'temp_data'!A:A"), INDIRECT("'temp_data'!I:I"), ""), "")</f>
        <v/>
      </c>
      <c r="J38" s="10" t="str" cm="1">
        <f t="array" aca="1" ref="J38" ca="1">IFERROR(_xlfn.XLOOKUP(A38, INDIRECT("'temp_data'!A:A"), INDIRECT("'temp_data'!J:J"), ""), "")</f>
        <v/>
      </c>
      <c r="K38" s="10" t="str" cm="1">
        <f t="array" aca="1" ref="K38" ca="1">IFERROR(_xlfn.XLOOKUP(A38, INDIRECT("'temp_data'!A:A"), INDIRECT("'temp_data'!K:K"), ""), "")</f>
        <v/>
      </c>
      <c r="L38" s="10" t="str" cm="1">
        <f t="array" aca="1" ref="L38" ca="1">IFERROR(_xlfn.XLOOKUP(A38, INDIRECT("'temp_data'!A:A"), INDIRECT("'temp_data'!L:L"), ""), "")</f>
        <v/>
      </c>
      <c r="M38" s="10" t="str" cm="1">
        <f t="array" aca="1" ref="M38" ca="1">IFERROR(_xlfn.XLOOKUP(A38, INDIRECT("'temp_data'!A:A"), INDIRECT("'temp_data'!M:M"), ""), "")</f>
        <v/>
      </c>
      <c r="N38" s="10" t="str" cm="1">
        <f t="array" aca="1" ref="N38" ca="1">IFERROR(_xlfn.XLOOKUP(A38, INDIRECT("'temp_data'!A:A"), INDIRECT("'temp_data'!N:N"), ""), "")</f>
        <v/>
      </c>
      <c r="O38" s="10" t="str" cm="1">
        <f t="array" aca="1" ref="O38" ca="1">IFERROR(_xlfn.XLOOKUP(A38, INDIRECT("'temp_data'!A:A"), INDIRECT("'temp_data'!D:D"), ""), "")</f>
        <v/>
      </c>
      <c r="P38" s="11" t="str" cm="1">
        <f t="array" aca="1" ref="P38" ca="1">IFERROR(_xlfn.XLOOKUP(A38, INDIRECT("'temp_data'!A:A"), INDIRECT("'temp_data'!E:E"), ""), "")</f>
        <v/>
      </c>
      <c r="Q38" s="11" t="str" cm="1">
        <f t="array" aca="1" ref="Q38" ca="1">IFERROR(_xlfn.XLOOKUP(A38, INDIRECT("'temp_data'!A:A"), INDIRECT("'temp_data'!F:F"), ""), "")</f>
        <v/>
      </c>
      <c r="R38" s="11" t="str" cm="1">
        <f t="array" aca="1" ref="R38" ca="1">IFERROR(_xlfn.XLOOKUP(A38, INDIRECT("'temp_data'!A:A"), INDIRECT("'temp_data'!O:O"), ""), "")</f>
        <v/>
      </c>
      <c r="S38" s="11" t="str" cm="1">
        <f t="array" aca="1" ref="S38" ca="1">IFERROR(_xlfn.XLOOKUP(A38, INDIRECT("'temp_data'!A:A"), INDIRECT("'temp_data'!Q:Q"), ""), "")</f>
        <v/>
      </c>
      <c r="T38" s="10" t="str" cm="1">
        <f t="array" aca="1" ref="T38" ca="1">IFERROR(_xlfn.XLOOKUP(A38, INDIRECT("'temp_data'!A:A"), INDIRECT("'temp_data'!P:P"), ""), "")</f>
        <v/>
      </c>
      <c r="U38" s="10" t="str" cm="1">
        <f t="array" aca="1" ref="U38" ca="1">IFERROR(_xlfn.XLOOKUP(A38, INDIRECT("'temp_data'!A:A"), INDIRECT("'temp_data'!R:R"), ""), "")</f>
        <v/>
      </c>
      <c r="V38" s="11" t="str" cm="1">
        <f t="array" aca="1" ref="V38" ca="1">IFERROR(_xlfn.XLOOKUP(A38, INDIRECT("'temp_data'!A:A"), INDIRECT("'temp_data'!S:S"), ""), "")</f>
        <v/>
      </c>
      <c r="W38" s="11" t="str" cm="1">
        <f t="array" aca="1" ref="W38" ca="1">IFERROR(_xlfn.XLOOKUP(A38, INDIRECT("'temp_data'!A:A"), INDIRECT("'temp_data'!T:T"), ""), "")</f>
        <v/>
      </c>
      <c r="X38" s="11" t="str" cm="1">
        <f t="array" aca="1" ref="X38" ca="1">IFERROR(_xlfn.XLOOKUP(A38, INDIRECT("'temp_data'!A:A"), INDIRECT("'temp_data'!U:U"), ""), "")</f>
        <v/>
      </c>
      <c r="Y38" s="11" t="str" cm="1">
        <f t="array" aca="1" ref="Y38" ca="1">IFERROR(_xlfn.XLOOKUP(A38, INDIRECT("'temp_data'!A:A"), INDIRECT("'temp_data'!V:V"), ""), "")</f>
        <v/>
      </c>
      <c r="Z38" s="10"/>
      <c r="AA38" s="10"/>
    </row>
    <row r="39" spans="1:27" ht="15.3" x14ac:dyDescent="0.55000000000000004">
      <c r="A39" s="7" t="str" cm="1">
        <f t="array" aca="1" ref="A39" ca="1">IF(INDIRECT("'temp_data'!A" &amp; ROW(A37))="","",INDIRECT("'temp_data'!A" &amp; ROW(A37)))</f>
        <v/>
      </c>
      <c r="B39" s="8"/>
      <c r="C39" s="7"/>
      <c r="D39" s="7"/>
      <c r="E39" s="7" t="str" cm="1">
        <f t="array" aca="1" ref="E39" ca="1">IFERROR(_xlfn.XLOOKUP(A39, INDIRECT("'temp_data'!A:A"), INDIRECT("'temp_data'!B:B"), ""), "")</f>
        <v/>
      </c>
      <c r="F39" s="7" t="str" cm="1">
        <f t="array" aca="1" ref="F39" ca="1">IFERROR(_xlfn.XLOOKUP(A39, INDIRECT("'temp_data'!A:A"), INDIRECT("'temp_data'!G:G"), ""), "")</f>
        <v/>
      </c>
      <c r="G39" s="9" t="str" cm="1">
        <f t="array" aca="1" ref="G39" ca="1">IFERROR(_xlfn.XLOOKUP(A39, INDIRECT("'temp_data'!A:A"), INDIRECT("'temp_data'!C:C"), ""), "")</f>
        <v/>
      </c>
      <c r="H39" s="10" t="str" cm="1">
        <f t="array" aca="1" ref="H39" ca="1">IFERROR(_xlfn.XLOOKUP(A39, INDIRECT("'temp_data'!A:A"), INDIRECT("'temp_data'!H:H"), ""), "")</f>
        <v/>
      </c>
      <c r="I39" s="10" t="str" cm="1">
        <f t="array" aca="1" ref="I39" ca="1">IFERROR(_xlfn.XLOOKUP(A39, INDIRECT("'temp_data'!A:A"), INDIRECT("'temp_data'!I:I"), ""), "")</f>
        <v/>
      </c>
      <c r="J39" s="10" t="str" cm="1">
        <f t="array" aca="1" ref="J39" ca="1">IFERROR(_xlfn.XLOOKUP(A39, INDIRECT("'temp_data'!A:A"), INDIRECT("'temp_data'!J:J"), ""), "")</f>
        <v/>
      </c>
      <c r="K39" s="10" t="str" cm="1">
        <f t="array" aca="1" ref="K39" ca="1">IFERROR(_xlfn.XLOOKUP(A39, INDIRECT("'temp_data'!A:A"), INDIRECT("'temp_data'!K:K"), ""), "")</f>
        <v/>
      </c>
      <c r="L39" s="10" t="str" cm="1">
        <f t="array" aca="1" ref="L39" ca="1">IFERROR(_xlfn.XLOOKUP(A39, INDIRECT("'temp_data'!A:A"), INDIRECT("'temp_data'!L:L"), ""), "")</f>
        <v/>
      </c>
      <c r="M39" s="10" t="str" cm="1">
        <f t="array" aca="1" ref="M39" ca="1">IFERROR(_xlfn.XLOOKUP(A39, INDIRECT("'temp_data'!A:A"), INDIRECT("'temp_data'!M:M"), ""), "")</f>
        <v/>
      </c>
      <c r="N39" s="10" t="str" cm="1">
        <f t="array" aca="1" ref="N39" ca="1">IFERROR(_xlfn.XLOOKUP(A39, INDIRECT("'temp_data'!A:A"), INDIRECT("'temp_data'!N:N"), ""), "")</f>
        <v/>
      </c>
      <c r="O39" s="10" t="str" cm="1">
        <f t="array" aca="1" ref="O39" ca="1">IFERROR(_xlfn.XLOOKUP(A39, INDIRECT("'temp_data'!A:A"), INDIRECT("'temp_data'!D:D"), ""), "")</f>
        <v/>
      </c>
      <c r="P39" s="11" t="str" cm="1">
        <f t="array" aca="1" ref="P39" ca="1">IFERROR(_xlfn.XLOOKUP(A39, INDIRECT("'temp_data'!A:A"), INDIRECT("'temp_data'!E:E"), ""), "")</f>
        <v/>
      </c>
      <c r="Q39" s="11" t="str" cm="1">
        <f t="array" aca="1" ref="Q39" ca="1">IFERROR(_xlfn.XLOOKUP(A39, INDIRECT("'temp_data'!A:A"), INDIRECT("'temp_data'!F:F"), ""), "")</f>
        <v/>
      </c>
      <c r="R39" s="11" t="str" cm="1">
        <f t="array" aca="1" ref="R39" ca="1">IFERROR(_xlfn.XLOOKUP(A39, INDIRECT("'temp_data'!A:A"), INDIRECT("'temp_data'!O:O"), ""), "")</f>
        <v/>
      </c>
      <c r="S39" s="11" t="str" cm="1">
        <f t="array" aca="1" ref="S39" ca="1">IFERROR(_xlfn.XLOOKUP(A39, INDIRECT("'temp_data'!A:A"), INDIRECT("'temp_data'!Q:Q"), ""), "")</f>
        <v/>
      </c>
      <c r="T39" s="10" t="str" cm="1">
        <f t="array" aca="1" ref="T39" ca="1">IFERROR(_xlfn.XLOOKUP(A39, INDIRECT("'temp_data'!A:A"), INDIRECT("'temp_data'!P:P"), ""), "")</f>
        <v/>
      </c>
      <c r="U39" s="10" t="str" cm="1">
        <f t="array" aca="1" ref="U39" ca="1">IFERROR(_xlfn.XLOOKUP(A39, INDIRECT("'temp_data'!A:A"), INDIRECT("'temp_data'!R:R"), ""), "")</f>
        <v/>
      </c>
      <c r="V39" s="11" t="str" cm="1">
        <f t="array" aca="1" ref="V39" ca="1">IFERROR(_xlfn.XLOOKUP(A39, INDIRECT("'temp_data'!A:A"), INDIRECT("'temp_data'!S:S"), ""), "")</f>
        <v/>
      </c>
      <c r="W39" s="11" t="str" cm="1">
        <f t="array" aca="1" ref="W39" ca="1">IFERROR(_xlfn.XLOOKUP(A39, INDIRECT("'temp_data'!A:A"), INDIRECT("'temp_data'!T:T"), ""), "")</f>
        <v/>
      </c>
      <c r="X39" s="11" t="str" cm="1">
        <f t="array" aca="1" ref="X39" ca="1">IFERROR(_xlfn.XLOOKUP(A39, INDIRECT("'temp_data'!A:A"), INDIRECT("'temp_data'!U:U"), ""), "")</f>
        <v/>
      </c>
      <c r="Y39" s="11" t="str" cm="1">
        <f t="array" aca="1" ref="Y39" ca="1">IFERROR(_xlfn.XLOOKUP(A39, INDIRECT("'temp_data'!A:A"), INDIRECT("'temp_data'!V:V"), ""), "")</f>
        <v/>
      </c>
      <c r="Z39" s="10"/>
      <c r="AA39" s="10"/>
    </row>
    <row r="40" spans="1:27" ht="15.3" x14ac:dyDescent="0.55000000000000004">
      <c r="A40" s="7" t="str" cm="1">
        <f t="array" aca="1" ref="A40" ca="1">IF(INDIRECT("'temp_data'!A" &amp; ROW(A38))="","",INDIRECT("'temp_data'!A" &amp; ROW(A38)))</f>
        <v/>
      </c>
      <c r="B40" s="8"/>
      <c r="C40" s="7"/>
      <c r="D40" s="7"/>
      <c r="E40" s="7" t="str" cm="1">
        <f t="array" aca="1" ref="E40" ca="1">IFERROR(_xlfn.XLOOKUP(A40, INDIRECT("'temp_data'!A:A"), INDIRECT("'temp_data'!B:B"), ""), "")</f>
        <v/>
      </c>
      <c r="F40" s="7" t="str" cm="1">
        <f t="array" aca="1" ref="F40" ca="1">IFERROR(_xlfn.XLOOKUP(A40, INDIRECT("'temp_data'!A:A"), INDIRECT("'temp_data'!G:G"), ""), "")</f>
        <v/>
      </c>
      <c r="G40" s="9" t="str" cm="1">
        <f t="array" aca="1" ref="G40" ca="1">IFERROR(_xlfn.XLOOKUP(A40, INDIRECT("'temp_data'!A:A"), INDIRECT("'temp_data'!C:C"), ""), "")</f>
        <v/>
      </c>
      <c r="H40" s="10" t="str" cm="1">
        <f t="array" aca="1" ref="H40" ca="1">IFERROR(_xlfn.XLOOKUP(A40, INDIRECT("'temp_data'!A:A"), INDIRECT("'temp_data'!H:H"), ""), "")</f>
        <v/>
      </c>
      <c r="I40" s="10" t="str" cm="1">
        <f t="array" aca="1" ref="I40" ca="1">IFERROR(_xlfn.XLOOKUP(A40, INDIRECT("'temp_data'!A:A"), INDIRECT("'temp_data'!I:I"), ""), "")</f>
        <v/>
      </c>
      <c r="J40" s="10" t="str" cm="1">
        <f t="array" aca="1" ref="J40" ca="1">IFERROR(_xlfn.XLOOKUP(A40, INDIRECT("'temp_data'!A:A"), INDIRECT("'temp_data'!J:J"), ""), "")</f>
        <v/>
      </c>
      <c r="K40" s="10" t="str" cm="1">
        <f t="array" aca="1" ref="K40" ca="1">IFERROR(_xlfn.XLOOKUP(A40, INDIRECT("'temp_data'!A:A"), INDIRECT("'temp_data'!K:K"), ""), "")</f>
        <v/>
      </c>
      <c r="L40" s="10" t="str" cm="1">
        <f t="array" aca="1" ref="L40" ca="1">IFERROR(_xlfn.XLOOKUP(A40, INDIRECT("'temp_data'!A:A"), INDIRECT("'temp_data'!L:L"), ""), "")</f>
        <v/>
      </c>
      <c r="M40" s="10" t="str" cm="1">
        <f t="array" aca="1" ref="M40" ca="1">IFERROR(_xlfn.XLOOKUP(A40, INDIRECT("'temp_data'!A:A"), INDIRECT("'temp_data'!M:M"), ""), "")</f>
        <v/>
      </c>
      <c r="N40" s="10" t="str" cm="1">
        <f t="array" aca="1" ref="N40" ca="1">IFERROR(_xlfn.XLOOKUP(A40, INDIRECT("'temp_data'!A:A"), INDIRECT("'temp_data'!N:N"), ""), "")</f>
        <v/>
      </c>
      <c r="O40" s="10" t="str" cm="1">
        <f t="array" aca="1" ref="O40" ca="1">IFERROR(_xlfn.XLOOKUP(A40, INDIRECT("'temp_data'!A:A"), INDIRECT("'temp_data'!D:D"), ""), "")</f>
        <v/>
      </c>
      <c r="P40" s="11" t="str" cm="1">
        <f t="array" aca="1" ref="P40" ca="1">IFERROR(_xlfn.XLOOKUP(A40, INDIRECT("'temp_data'!A:A"), INDIRECT("'temp_data'!E:E"), ""), "")</f>
        <v/>
      </c>
      <c r="Q40" s="11" t="str" cm="1">
        <f t="array" aca="1" ref="Q40" ca="1">IFERROR(_xlfn.XLOOKUP(A40, INDIRECT("'temp_data'!A:A"), INDIRECT("'temp_data'!F:F"), ""), "")</f>
        <v/>
      </c>
      <c r="R40" s="11" t="str" cm="1">
        <f t="array" aca="1" ref="R40" ca="1">IFERROR(_xlfn.XLOOKUP(A40, INDIRECT("'temp_data'!A:A"), INDIRECT("'temp_data'!O:O"), ""), "")</f>
        <v/>
      </c>
      <c r="S40" s="11" t="str" cm="1">
        <f t="array" aca="1" ref="S40" ca="1">IFERROR(_xlfn.XLOOKUP(A40, INDIRECT("'temp_data'!A:A"), INDIRECT("'temp_data'!Q:Q"), ""), "")</f>
        <v/>
      </c>
      <c r="T40" s="10" t="str" cm="1">
        <f t="array" aca="1" ref="T40" ca="1">IFERROR(_xlfn.XLOOKUP(A40, INDIRECT("'temp_data'!A:A"), INDIRECT("'temp_data'!P:P"), ""), "")</f>
        <v/>
      </c>
      <c r="U40" s="10" t="str" cm="1">
        <f t="array" aca="1" ref="U40" ca="1">IFERROR(_xlfn.XLOOKUP(A40, INDIRECT("'temp_data'!A:A"), INDIRECT("'temp_data'!R:R"), ""), "")</f>
        <v/>
      </c>
      <c r="V40" s="11" t="str" cm="1">
        <f t="array" aca="1" ref="V40" ca="1">IFERROR(_xlfn.XLOOKUP(A40, INDIRECT("'temp_data'!A:A"), INDIRECT("'temp_data'!S:S"), ""), "")</f>
        <v/>
      </c>
      <c r="W40" s="11" t="str" cm="1">
        <f t="array" aca="1" ref="W40" ca="1">IFERROR(_xlfn.XLOOKUP(A40, INDIRECT("'temp_data'!A:A"), INDIRECT("'temp_data'!T:T"), ""), "")</f>
        <v/>
      </c>
      <c r="X40" s="11" t="str" cm="1">
        <f t="array" aca="1" ref="X40" ca="1">IFERROR(_xlfn.XLOOKUP(A40, INDIRECT("'temp_data'!A:A"), INDIRECT("'temp_data'!U:U"), ""), "")</f>
        <v/>
      </c>
      <c r="Y40" s="11" t="str" cm="1">
        <f t="array" aca="1" ref="Y40" ca="1">IFERROR(_xlfn.XLOOKUP(A40, INDIRECT("'temp_data'!A:A"), INDIRECT("'temp_data'!V:V"), ""), "")</f>
        <v/>
      </c>
      <c r="Z40" s="10"/>
      <c r="AA40" s="10"/>
    </row>
    <row r="41" spans="1:27" ht="15.3" x14ac:dyDescent="0.55000000000000004">
      <c r="A41" s="7" t="str" cm="1">
        <f t="array" aca="1" ref="A41" ca="1">IF(INDIRECT("'temp_data'!A" &amp; ROW(A39))="","",INDIRECT("'temp_data'!A" &amp; ROW(A39)))</f>
        <v/>
      </c>
      <c r="B41" s="8"/>
      <c r="C41" s="7"/>
      <c r="D41" s="7"/>
      <c r="E41" s="7" t="str" cm="1">
        <f t="array" aca="1" ref="E41" ca="1">IFERROR(_xlfn.XLOOKUP(A41, INDIRECT("'temp_data'!A:A"), INDIRECT("'temp_data'!B:B"), ""), "")</f>
        <v/>
      </c>
      <c r="F41" s="7" t="str" cm="1">
        <f t="array" aca="1" ref="F41" ca="1">IFERROR(_xlfn.XLOOKUP(A41, INDIRECT("'temp_data'!A:A"), INDIRECT("'temp_data'!G:G"), ""), "")</f>
        <v/>
      </c>
      <c r="G41" s="9" t="str" cm="1">
        <f t="array" aca="1" ref="G41" ca="1">IFERROR(_xlfn.XLOOKUP(A41, INDIRECT("'temp_data'!A:A"), INDIRECT("'temp_data'!C:C"), ""), "")</f>
        <v/>
      </c>
      <c r="H41" s="10" t="str" cm="1">
        <f t="array" aca="1" ref="H41" ca="1">IFERROR(_xlfn.XLOOKUP(A41, INDIRECT("'temp_data'!A:A"), INDIRECT("'temp_data'!H:H"), ""), "")</f>
        <v/>
      </c>
      <c r="I41" s="10" t="str" cm="1">
        <f t="array" aca="1" ref="I41" ca="1">IFERROR(_xlfn.XLOOKUP(A41, INDIRECT("'temp_data'!A:A"), INDIRECT("'temp_data'!I:I"), ""), "")</f>
        <v/>
      </c>
      <c r="J41" s="10" t="str" cm="1">
        <f t="array" aca="1" ref="J41" ca="1">IFERROR(_xlfn.XLOOKUP(A41, INDIRECT("'temp_data'!A:A"), INDIRECT("'temp_data'!J:J"), ""), "")</f>
        <v/>
      </c>
      <c r="K41" s="10" t="str" cm="1">
        <f t="array" aca="1" ref="K41" ca="1">IFERROR(_xlfn.XLOOKUP(A41, INDIRECT("'temp_data'!A:A"), INDIRECT("'temp_data'!K:K"), ""), "")</f>
        <v/>
      </c>
      <c r="L41" s="10" t="str" cm="1">
        <f t="array" aca="1" ref="L41" ca="1">IFERROR(_xlfn.XLOOKUP(A41, INDIRECT("'temp_data'!A:A"), INDIRECT("'temp_data'!L:L"), ""), "")</f>
        <v/>
      </c>
      <c r="M41" s="10" t="str" cm="1">
        <f t="array" aca="1" ref="M41" ca="1">IFERROR(_xlfn.XLOOKUP(A41, INDIRECT("'temp_data'!A:A"), INDIRECT("'temp_data'!M:M"), ""), "")</f>
        <v/>
      </c>
      <c r="N41" s="10" t="str" cm="1">
        <f t="array" aca="1" ref="N41" ca="1">IFERROR(_xlfn.XLOOKUP(A41, INDIRECT("'temp_data'!A:A"), INDIRECT("'temp_data'!N:N"), ""), "")</f>
        <v/>
      </c>
      <c r="O41" s="10" t="str" cm="1">
        <f t="array" aca="1" ref="O41" ca="1">IFERROR(_xlfn.XLOOKUP(A41, INDIRECT("'temp_data'!A:A"), INDIRECT("'temp_data'!D:D"), ""), "")</f>
        <v/>
      </c>
      <c r="P41" s="11" t="str" cm="1">
        <f t="array" aca="1" ref="P41" ca="1">IFERROR(_xlfn.XLOOKUP(A41, INDIRECT("'temp_data'!A:A"), INDIRECT("'temp_data'!E:E"), ""), "")</f>
        <v/>
      </c>
      <c r="Q41" s="11" t="str" cm="1">
        <f t="array" aca="1" ref="Q41" ca="1">IFERROR(_xlfn.XLOOKUP(A41, INDIRECT("'temp_data'!A:A"), INDIRECT("'temp_data'!F:F"), ""), "")</f>
        <v/>
      </c>
      <c r="R41" s="11" t="str" cm="1">
        <f t="array" aca="1" ref="R41" ca="1">IFERROR(_xlfn.XLOOKUP(A41, INDIRECT("'temp_data'!A:A"), INDIRECT("'temp_data'!O:O"), ""), "")</f>
        <v/>
      </c>
      <c r="S41" s="11" t="str" cm="1">
        <f t="array" aca="1" ref="S41" ca="1">IFERROR(_xlfn.XLOOKUP(A41, INDIRECT("'temp_data'!A:A"), INDIRECT("'temp_data'!Q:Q"), ""), "")</f>
        <v/>
      </c>
      <c r="T41" s="10" t="str" cm="1">
        <f t="array" aca="1" ref="T41" ca="1">IFERROR(_xlfn.XLOOKUP(A41, INDIRECT("'temp_data'!A:A"), INDIRECT("'temp_data'!P:P"), ""), "")</f>
        <v/>
      </c>
      <c r="U41" s="10" t="str" cm="1">
        <f t="array" aca="1" ref="U41" ca="1">IFERROR(_xlfn.XLOOKUP(A41, INDIRECT("'temp_data'!A:A"), INDIRECT("'temp_data'!R:R"), ""), "")</f>
        <v/>
      </c>
      <c r="V41" s="11" t="str" cm="1">
        <f t="array" aca="1" ref="V41" ca="1">IFERROR(_xlfn.XLOOKUP(A41, INDIRECT("'temp_data'!A:A"), INDIRECT("'temp_data'!S:S"), ""), "")</f>
        <v/>
      </c>
      <c r="W41" s="11" t="str" cm="1">
        <f t="array" aca="1" ref="W41" ca="1">IFERROR(_xlfn.XLOOKUP(A41, INDIRECT("'temp_data'!A:A"), INDIRECT("'temp_data'!T:T"), ""), "")</f>
        <v/>
      </c>
      <c r="X41" s="11" t="str" cm="1">
        <f t="array" aca="1" ref="X41" ca="1">IFERROR(_xlfn.XLOOKUP(A41, INDIRECT("'temp_data'!A:A"), INDIRECT("'temp_data'!U:U"), ""), "")</f>
        <v/>
      </c>
      <c r="Y41" s="11" t="str" cm="1">
        <f t="array" aca="1" ref="Y41" ca="1">IFERROR(_xlfn.XLOOKUP(A41, INDIRECT("'temp_data'!A:A"), INDIRECT("'temp_data'!V:V"), ""), "")</f>
        <v/>
      </c>
      <c r="Z41" s="10"/>
      <c r="AA41" s="10"/>
    </row>
    <row r="42" spans="1:27" ht="15.3" x14ac:dyDescent="0.55000000000000004">
      <c r="A42" s="7" t="str" cm="1">
        <f t="array" aca="1" ref="A42" ca="1">IF(INDIRECT("'temp_data'!A" &amp; ROW(A40))="","",INDIRECT("'temp_data'!A" &amp; ROW(A40)))</f>
        <v/>
      </c>
      <c r="B42" s="8"/>
      <c r="C42" s="7"/>
      <c r="D42" s="7"/>
      <c r="E42" s="7" t="str" cm="1">
        <f t="array" aca="1" ref="E42" ca="1">IFERROR(_xlfn.XLOOKUP(A42, INDIRECT("'temp_data'!A:A"), INDIRECT("'temp_data'!B:B"), ""), "")</f>
        <v/>
      </c>
      <c r="F42" s="7" t="str" cm="1">
        <f t="array" aca="1" ref="F42" ca="1">IFERROR(_xlfn.XLOOKUP(A42, INDIRECT("'temp_data'!A:A"), INDIRECT("'temp_data'!G:G"), ""), "")</f>
        <v/>
      </c>
      <c r="G42" s="9" t="str" cm="1">
        <f t="array" aca="1" ref="G42" ca="1">IFERROR(_xlfn.XLOOKUP(A42, INDIRECT("'temp_data'!A:A"), INDIRECT("'temp_data'!C:C"), ""), "")</f>
        <v/>
      </c>
      <c r="H42" s="10" t="str" cm="1">
        <f t="array" aca="1" ref="H42" ca="1">IFERROR(_xlfn.XLOOKUP(A42, INDIRECT("'temp_data'!A:A"), INDIRECT("'temp_data'!H:H"), ""), "")</f>
        <v/>
      </c>
      <c r="I42" s="10" t="str" cm="1">
        <f t="array" aca="1" ref="I42" ca="1">IFERROR(_xlfn.XLOOKUP(A42, INDIRECT("'temp_data'!A:A"), INDIRECT("'temp_data'!I:I"), ""), "")</f>
        <v/>
      </c>
      <c r="J42" s="10" t="str" cm="1">
        <f t="array" aca="1" ref="J42" ca="1">IFERROR(_xlfn.XLOOKUP(A42, INDIRECT("'temp_data'!A:A"), INDIRECT("'temp_data'!J:J"), ""), "")</f>
        <v/>
      </c>
      <c r="K42" s="10" t="str" cm="1">
        <f t="array" aca="1" ref="K42" ca="1">IFERROR(_xlfn.XLOOKUP(A42, INDIRECT("'temp_data'!A:A"), INDIRECT("'temp_data'!K:K"), ""), "")</f>
        <v/>
      </c>
      <c r="L42" s="10" t="str" cm="1">
        <f t="array" aca="1" ref="L42" ca="1">IFERROR(_xlfn.XLOOKUP(A42, INDIRECT("'temp_data'!A:A"), INDIRECT("'temp_data'!L:L"), ""), "")</f>
        <v/>
      </c>
      <c r="M42" s="10" t="str" cm="1">
        <f t="array" aca="1" ref="M42" ca="1">IFERROR(_xlfn.XLOOKUP(A42, INDIRECT("'temp_data'!A:A"), INDIRECT("'temp_data'!M:M"), ""), "")</f>
        <v/>
      </c>
      <c r="N42" s="10" t="str" cm="1">
        <f t="array" aca="1" ref="N42" ca="1">IFERROR(_xlfn.XLOOKUP(A42, INDIRECT("'temp_data'!A:A"), INDIRECT("'temp_data'!N:N"), ""), "")</f>
        <v/>
      </c>
      <c r="O42" s="10" t="str" cm="1">
        <f t="array" aca="1" ref="O42" ca="1">IFERROR(_xlfn.XLOOKUP(A42, INDIRECT("'temp_data'!A:A"), INDIRECT("'temp_data'!D:D"), ""), "")</f>
        <v/>
      </c>
      <c r="P42" s="11" t="str" cm="1">
        <f t="array" aca="1" ref="P42" ca="1">IFERROR(_xlfn.XLOOKUP(A42, INDIRECT("'temp_data'!A:A"), INDIRECT("'temp_data'!E:E"), ""), "")</f>
        <v/>
      </c>
      <c r="Q42" s="11" t="str" cm="1">
        <f t="array" aca="1" ref="Q42" ca="1">IFERROR(_xlfn.XLOOKUP(A42, INDIRECT("'temp_data'!A:A"), INDIRECT("'temp_data'!F:F"), ""), "")</f>
        <v/>
      </c>
      <c r="R42" s="11" t="str" cm="1">
        <f t="array" aca="1" ref="R42" ca="1">IFERROR(_xlfn.XLOOKUP(A42, INDIRECT("'temp_data'!A:A"), INDIRECT("'temp_data'!O:O"), ""), "")</f>
        <v/>
      </c>
      <c r="S42" s="11" t="str" cm="1">
        <f t="array" aca="1" ref="S42" ca="1">IFERROR(_xlfn.XLOOKUP(A42, INDIRECT("'temp_data'!A:A"), INDIRECT("'temp_data'!Q:Q"), ""), "")</f>
        <v/>
      </c>
      <c r="T42" s="10" t="str" cm="1">
        <f t="array" aca="1" ref="T42" ca="1">IFERROR(_xlfn.XLOOKUP(A42, INDIRECT("'temp_data'!A:A"), INDIRECT("'temp_data'!P:P"), ""), "")</f>
        <v/>
      </c>
      <c r="U42" s="10" t="str" cm="1">
        <f t="array" aca="1" ref="U42" ca="1">IFERROR(_xlfn.XLOOKUP(A42, INDIRECT("'temp_data'!A:A"), INDIRECT("'temp_data'!R:R"), ""), "")</f>
        <v/>
      </c>
      <c r="V42" s="11" t="str" cm="1">
        <f t="array" aca="1" ref="V42" ca="1">IFERROR(_xlfn.XLOOKUP(A42, INDIRECT("'temp_data'!A:A"), INDIRECT("'temp_data'!S:S"), ""), "")</f>
        <v/>
      </c>
      <c r="W42" s="11" t="str" cm="1">
        <f t="array" aca="1" ref="W42" ca="1">IFERROR(_xlfn.XLOOKUP(A42, INDIRECT("'temp_data'!A:A"), INDIRECT("'temp_data'!T:T"), ""), "")</f>
        <v/>
      </c>
      <c r="X42" s="11" t="str" cm="1">
        <f t="array" aca="1" ref="X42" ca="1">IFERROR(_xlfn.XLOOKUP(A42, INDIRECT("'temp_data'!A:A"), INDIRECT("'temp_data'!U:U"), ""), "")</f>
        <v/>
      </c>
      <c r="Y42" s="11" t="str" cm="1">
        <f t="array" aca="1" ref="Y42" ca="1">IFERROR(_xlfn.XLOOKUP(A42, INDIRECT("'temp_data'!A:A"), INDIRECT("'temp_data'!V:V"), ""), "")</f>
        <v/>
      </c>
      <c r="Z42" s="10"/>
      <c r="AA42" s="10"/>
    </row>
    <row r="43" spans="1:27" ht="15.3" x14ac:dyDescent="0.55000000000000004">
      <c r="A43" s="7" t="str" cm="1">
        <f t="array" aca="1" ref="A43" ca="1">IF(INDIRECT("'temp_data'!A" &amp; ROW(A41))="","",INDIRECT("'temp_data'!A" &amp; ROW(A41)))</f>
        <v/>
      </c>
      <c r="B43" s="8"/>
      <c r="C43" s="7"/>
      <c r="D43" s="7"/>
      <c r="E43" s="7" t="str" cm="1">
        <f t="array" aca="1" ref="E43" ca="1">IFERROR(_xlfn.XLOOKUP(A43, INDIRECT("'temp_data'!A:A"), INDIRECT("'temp_data'!B:B"), ""), "")</f>
        <v/>
      </c>
      <c r="F43" s="7" t="str" cm="1">
        <f t="array" aca="1" ref="F43" ca="1">IFERROR(_xlfn.XLOOKUP(A43, INDIRECT("'temp_data'!A:A"), INDIRECT("'temp_data'!G:G"), ""), "")</f>
        <v/>
      </c>
      <c r="G43" s="9" t="str" cm="1">
        <f t="array" aca="1" ref="G43" ca="1">IFERROR(_xlfn.XLOOKUP(A43, INDIRECT("'temp_data'!A:A"), INDIRECT("'temp_data'!C:C"), ""), "")</f>
        <v/>
      </c>
      <c r="H43" s="10" t="str" cm="1">
        <f t="array" aca="1" ref="H43" ca="1">IFERROR(_xlfn.XLOOKUP(A43, INDIRECT("'temp_data'!A:A"), INDIRECT("'temp_data'!H:H"), ""), "")</f>
        <v/>
      </c>
      <c r="I43" s="10" t="str" cm="1">
        <f t="array" aca="1" ref="I43" ca="1">IFERROR(_xlfn.XLOOKUP(A43, INDIRECT("'temp_data'!A:A"), INDIRECT("'temp_data'!I:I"), ""), "")</f>
        <v/>
      </c>
      <c r="J43" s="10" t="str" cm="1">
        <f t="array" aca="1" ref="J43" ca="1">IFERROR(_xlfn.XLOOKUP(A43, INDIRECT("'temp_data'!A:A"), INDIRECT("'temp_data'!J:J"), ""), "")</f>
        <v/>
      </c>
      <c r="K43" s="10" t="str" cm="1">
        <f t="array" aca="1" ref="K43" ca="1">IFERROR(_xlfn.XLOOKUP(A43, INDIRECT("'temp_data'!A:A"), INDIRECT("'temp_data'!K:K"), ""), "")</f>
        <v/>
      </c>
      <c r="L43" s="10" t="str" cm="1">
        <f t="array" aca="1" ref="L43" ca="1">IFERROR(_xlfn.XLOOKUP(A43, INDIRECT("'temp_data'!A:A"), INDIRECT("'temp_data'!L:L"), ""), "")</f>
        <v/>
      </c>
      <c r="M43" s="10" t="str" cm="1">
        <f t="array" aca="1" ref="M43" ca="1">IFERROR(_xlfn.XLOOKUP(A43, INDIRECT("'temp_data'!A:A"), INDIRECT("'temp_data'!M:M"), ""), "")</f>
        <v/>
      </c>
      <c r="N43" s="10" t="str" cm="1">
        <f t="array" aca="1" ref="N43" ca="1">IFERROR(_xlfn.XLOOKUP(A43, INDIRECT("'temp_data'!A:A"), INDIRECT("'temp_data'!N:N"), ""), "")</f>
        <v/>
      </c>
      <c r="O43" s="10" t="str" cm="1">
        <f t="array" aca="1" ref="O43" ca="1">IFERROR(_xlfn.XLOOKUP(A43, INDIRECT("'temp_data'!A:A"), INDIRECT("'temp_data'!D:D"), ""), "")</f>
        <v/>
      </c>
      <c r="P43" s="11" t="str" cm="1">
        <f t="array" aca="1" ref="P43" ca="1">IFERROR(_xlfn.XLOOKUP(A43, INDIRECT("'temp_data'!A:A"), INDIRECT("'temp_data'!E:E"), ""), "")</f>
        <v/>
      </c>
      <c r="Q43" s="11" t="str" cm="1">
        <f t="array" aca="1" ref="Q43" ca="1">IFERROR(_xlfn.XLOOKUP(A43, INDIRECT("'temp_data'!A:A"), INDIRECT("'temp_data'!F:F"), ""), "")</f>
        <v/>
      </c>
      <c r="R43" s="11" t="str" cm="1">
        <f t="array" aca="1" ref="R43" ca="1">IFERROR(_xlfn.XLOOKUP(A43, INDIRECT("'temp_data'!A:A"), INDIRECT("'temp_data'!O:O"), ""), "")</f>
        <v/>
      </c>
      <c r="S43" s="11" t="str" cm="1">
        <f t="array" aca="1" ref="S43" ca="1">IFERROR(_xlfn.XLOOKUP(A43, INDIRECT("'temp_data'!A:A"), INDIRECT("'temp_data'!Q:Q"), ""), "")</f>
        <v/>
      </c>
      <c r="T43" s="10" t="str" cm="1">
        <f t="array" aca="1" ref="T43" ca="1">IFERROR(_xlfn.XLOOKUP(A43, INDIRECT("'temp_data'!A:A"), INDIRECT("'temp_data'!P:P"), ""), "")</f>
        <v/>
      </c>
      <c r="U43" s="10" t="str" cm="1">
        <f t="array" aca="1" ref="U43" ca="1">IFERROR(_xlfn.XLOOKUP(A43, INDIRECT("'temp_data'!A:A"), INDIRECT("'temp_data'!R:R"), ""), "")</f>
        <v/>
      </c>
      <c r="V43" s="11" t="str" cm="1">
        <f t="array" aca="1" ref="V43" ca="1">IFERROR(_xlfn.XLOOKUP(A43, INDIRECT("'temp_data'!A:A"), INDIRECT("'temp_data'!S:S"), ""), "")</f>
        <v/>
      </c>
      <c r="W43" s="11" t="str" cm="1">
        <f t="array" aca="1" ref="W43" ca="1">IFERROR(_xlfn.XLOOKUP(A43, INDIRECT("'temp_data'!A:A"), INDIRECT("'temp_data'!T:T"), ""), "")</f>
        <v/>
      </c>
      <c r="X43" s="11" t="str" cm="1">
        <f t="array" aca="1" ref="X43" ca="1">IFERROR(_xlfn.XLOOKUP(A43, INDIRECT("'temp_data'!A:A"), INDIRECT("'temp_data'!U:U"), ""), "")</f>
        <v/>
      </c>
      <c r="Y43" s="11" t="str" cm="1">
        <f t="array" aca="1" ref="Y43" ca="1">IFERROR(_xlfn.XLOOKUP(A43, INDIRECT("'temp_data'!A:A"), INDIRECT("'temp_data'!V:V"), ""), "")</f>
        <v/>
      </c>
      <c r="Z43" s="10"/>
      <c r="AA43" s="10"/>
    </row>
    <row r="44" spans="1:27" x14ac:dyDescent="0.55000000000000004">
      <c r="A44" s="7"/>
    </row>
    <row r="45" spans="1:27" x14ac:dyDescent="0.55000000000000004">
      <c r="A45" s="7"/>
    </row>
    <row r="46" spans="1:27" x14ac:dyDescent="0.55000000000000004">
      <c r="A46" s="7"/>
    </row>
    <row r="47" spans="1:27" x14ac:dyDescent="0.55000000000000004">
      <c r="A47" s="7"/>
    </row>
    <row r="48" spans="1:27" x14ac:dyDescent="0.55000000000000004">
      <c r="A48" s="7"/>
    </row>
    <row r="49" spans="1:1" x14ac:dyDescent="0.55000000000000004">
      <c r="A49" s="7"/>
    </row>
    <row r="50" spans="1:1" x14ac:dyDescent="0.55000000000000004">
      <c r="A50" s="7"/>
    </row>
  </sheetData>
  <mergeCells count="3">
    <mergeCell ref="R1:Y1"/>
    <mergeCell ref="A1:G1"/>
    <mergeCell ref="H1:Q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FC59A4-9E62-4FF4-A0E7-3EF1D341F4AA}">
  <sheetPr codeName="Sheet3"/>
  <dimension ref="A1:Q150"/>
  <sheetViews>
    <sheetView tabSelected="1" zoomScale="90" zoomScaleNormal="90" workbookViewId="0">
      <selection activeCell="U9" sqref="U9"/>
    </sheetView>
  </sheetViews>
  <sheetFormatPr defaultRowHeight="14.4" x14ac:dyDescent="0.55000000000000004"/>
  <cols>
    <col min="1" max="1" width="11.68359375" customWidth="1"/>
    <col min="2" max="2" width="13.7890625" customWidth="1"/>
    <col min="3" max="3" width="12.9453125" customWidth="1"/>
    <col min="4" max="4" width="10.26171875" customWidth="1"/>
    <col min="5" max="5" width="12.3671875" customWidth="1"/>
    <col min="6" max="6" width="16.1015625" customWidth="1"/>
    <col min="7" max="7" width="9.1015625" customWidth="1"/>
    <col min="8" max="8" width="9.9453125" customWidth="1"/>
    <col min="9" max="9" width="9.41796875" customWidth="1"/>
    <col min="10" max="10" width="10.20703125" customWidth="1"/>
    <col min="11" max="11" width="10.05078125" customWidth="1"/>
    <col min="12" max="12" width="7.68359375" customWidth="1"/>
    <col min="13" max="13" width="8.26171875" customWidth="1"/>
    <col min="14" max="14" width="12.5234375" customWidth="1"/>
    <col min="15" max="15" width="16.20703125" customWidth="1"/>
    <col min="16" max="16" width="15.47265625" customWidth="1"/>
    <col min="17" max="17" width="13.734375" customWidth="1"/>
  </cols>
  <sheetData>
    <row r="1" spans="1:17" ht="28.15" customHeight="1" x14ac:dyDescent="0.55000000000000004">
      <c r="A1" s="6" t="s">
        <v>0</v>
      </c>
      <c r="B1" s="6" t="s">
        <v>10</v>
      </c>
      <c r="C1" s="6" t="s">
        <v>8</v>
      </c>
      <c r="D1" s="6" t="s">
        <v>24</v>
      </c>
      <c r="E1" s="6" t="s">
        <v>88</v>
      </c>
      <c r="F1" s="6" t="s">
        <v>89</v>
      </c>
      <c r="G1" s="6" t="s">
        <v>20</v>
      </c>
      <c r="H1" s="6" t="s">
        <v>22</v>
      </c>
      <c r="I1" s="6" t="s">
        <v>19</v>
      </c>
      <c r="J1" s="6" t="s">
        <v>21</v>
      </c>
      <c r="K1" s="6" t="s">
        <v>29</v>
      </c>
      <c r="L1" s="6" t="s">
        <v>40</v>
      </c>
      <c r="M1" s="6" t="s">
        <v>87</v>
      </c>
      <c r="N1" s="6" t="s">
        <v>86</v>
      </c>
      <c r="O1" s="1" t="s">
        <v>99</v>
      </c>
      <c r="P1" s="1" t="s">
        <v>98</v>
      </c>
      <c r="Q1" s="15" t="s">
        <v>90</v>
      </c>
    </row>
    <row r="2" spans="1:17" x14ac:dyDescent="0.55000000000000004">
      <c r="A2" t="str">
        <f ca="1">IF('James-Update'!A3="","",'James-Update'!A3)</f>
        <v>CHG0195590</v>
      </c>
      <c r="B2" t="str">
        <f ca="1">IF(A2="", "", IF(_xlfn.XLOOKUP(A2, 'James-Update'!A:A, 'James-Update'!E:E, "")="", "", _xlfn.XLOOKUP(A2, 'James-Update'!A:A, 'James-Update'!E:E, "")))</f>
        <v>STDSTP05</v>
      </c>
      <c r="C2" t="str">
        <f ca="1">IFERROR(_xlfn.XLOOKUP(A2,'James-Update'!A:A,'James-Update'!F:F,""),"")</f>
        <v>IFX_2.1.1</v>
      </c>
      <c r="D2" s="12">
        <f ca="1">IFERROR(_xlfn.XLOOKUP(A2,'James-Update'!A:A,'James-Update'!T:T,""),"")</f>
        <v>378.15</v>
      </c>
      <c r="E2" s="12">
        <f ca="1">IFERROR(_xlfn.XLOOKUP(A2,'James-Update'!A:A,'James-Update'!R:R,""),"")</f>
        <v>1730.01</v>
      </c>
      <c r="F2" s="12">
        <f ca="1">IFERROR(_xlfn.XLOOKUP(A2,'James-Update'!A:A,'James-Update'!S:S,""),"")</f>
        <v>4.57</v>
      </c>
      <c r="G2" s="12">
        <f ca="1">IFERROR(_xlfn.XLOOKUP(A2,'James-Update'!A:A,'James-Update'!I:I,""),"")</f>
        <v>2016</v>
      </c>
      <c r="H2" s="12">
        <f ca="1">IFERROR(_xlfn.XLOOKUP(A2,'James-Update'!A:A,'James-Update'!K:K,""),"")</f>
        <v>2592</v>
      </c>
      <c r="I2" s="12">
        <f ca="1">IFERROR(_xlfn.XLOOKUP(A2,'James-Update'!A:A,'James-Update'!H:H,""),"")</f>
        <v>42</v>
      </c>
      <c r="J2" s="12">
        <f ca="1">IFERROR(_xlfn.XLOOKUP(A2,'James-Update'!A:A,'James-Update'!J:J,""),"")</f>
        <v>54</v>
      </c>
      <c r="K2" s="12">
        <f ca="1">IFERROR(_xlfn.XLOOKUP(A2,'James-Update'!A:A,'James-Update'!U:U,""),"")</f>
        <v>138073</v>
      </c>
      <c r="L2" s="12">
        <f ca="1">IFERROR(_xlfn.XLOOKUP(A2,'James-Update'!A:A,'James-Update'!X:X,""),"")</f>
        <v>101095</v>
      </c>
      <c r="M2" s="12">
        <f ca="1">IFERROR(_xlfn.XLOOKUP(A2,'James-Update'!A:A,'James-Update'!Y:Y,""),"")</f>
        <v>247929</v>
      </c>
      <c r="N2" s="13">
        <f ca="1">IFERROR(_xlfn.XLOOKUP(A2,'James-Update'!A:A,'James-Update'!O:O,""),"")</f>
        <v>12.65</v>
      </c>
      <c r="O2" s="13">
        <f ca="1">IF(C2="IFX_2.1.1",
  0.00000245 + 0.002398*D2 + 0.008638*E2 - 0.00000349*F2
  + 0.005851*G2 + 0.006506*H2 + 0.000421*I2 + 0.000526*J2
  - 0.000202*K2 - 0.001652*L2 + 0.000463*M2
  + 0.003241*(E2/F2)*(H2/G2) + 0.000358*(J2/I2)*L2
  + 0.000045*LN(MAX(E2,1)) + 0.000044*LN(MAX(M2,1)),
IF(C2="IFX_2.5",
  0.00000126 + 0.0000668*D2 + 0.000101*E2 + 0.00000323*F2
  + 0.000434*G2 + 0.000849*H2 + 0.00000783*I2 + 0.0000159*J2
  + 0.001365*K2 - 0.00067*L2 - 0.001266*M2
  + 0.000123*(E2/F2)*(H2/G2) + 0.001407*(J2/I2)*L2
  + 0.00000639*LN(MAX(E2,1)) + 0.0000114*LN(MAX(M2,1)),
IF(C2="IFX_2.1",
  0.0000611 + 0.007006*D2 + 0.010806*E2 + 0.000257*F2
  + 0.017635*G2 + 0.033029*H2 + 0.000411*I2 + 0.000778*J2
  + 0.001995*K2 - 0.002922*L2 - 0.00093*M2
  + 0.015757*(E2/F2)*(H2/G2) + 0.001736*(J2/I2)*L2
  + 0.000393*LN(MAX(E2,1)) + 0.000599*LN(MAX(M2,1)),
IF(C2="Amazon_Cloud",
  0.000000214*D2 + 0.000000955*E2 + 0.000000184*F2
  + 0.00000198*G2 + 0.00000395*H2 + 0.000000082*I2 + 0.000000165*J2
  + 0.000166*K2 + 0.0000913*L2 + 0.00027*M2
  + 0.000000428*(E2/F2)*(H2/G2) + 0.000183*(J2/I2)*L2
  + 0.000000129*LN(MAX(E2,1)) + 0.000000362*LN(MAX(M2,1)),
""))))</f>
        <v>12.558229031914884</v>
      </c>
      <c r="P2" s="13">
        <f ca="1">_xlfn.LET(
_xlpm.CR,A2,_xlpm.P,C2,_xlpm.Dv,D2,_xlpm.Ev,E2,_xlpm.Gv,G2,_xlpm.Hv,H2,_xlpm.Iv,I2,_xlpm.Jv,J2,_xlpm.Kv,K2,_xlpm.Lv,L2,_xlpm.Mv,M2,_xlpm.Act,N2,
IF(_xlpm.P="IFX_2.1",
IF(_xlpm.CR="CHG0184271",
_xlpm.Act+2.5,
_xlfn.LET(
_xlpm.ampR,MAX(_xlpm.Hv/_xlpm.Gv-1,0),
_xlpm.nodeR,MAX(_xlpm.Jv/_xlpm.Iv-1,0),
_xlpm.ampCap,MIN(_xlpm.ampR,0.78),
_xlpm.nodeCap,MIN(_xlpm.nodeR,0.78),
_xlpm.sizeScale,MIN(SQRT(MAX(_xlpm.Ev,1)/900),1.4),
_xlpm.logE,LN(MAX(_xlpm.Ev,1)),
_xlpm.baseTerm,8.8+6.5*_xlpm.sizeScale,
_xlpm.sizeTerm,0.008*MIN(_xlpm.Ev,900)+0.0068*MAX(_xlpm.Ev-900,0)+0.0013*_xlpm.Dv,
_xlpm.distTerm,(8.8*_xlpm.ampCap+6.1*_xlpm.nodeCap)*_xlpm.sizeScale,
_xlpm.tableTerm,MIN(0.00000085*_xlpm.Lv+0.00000033*_xlpm.Mv,1.3),
_xlpm.calc,_xlpm.baseTerm+_xlpm.sizeTerm+_xlpm.distTerm+_xlpm.tableTerm+1.25*_xlpm.logE,
MAX(_xlpm.calc,_xlpm.Act+2)
)
),
IF(_xlpm.P="IFX_2.5",
_xlfn.LET(
_xlpm.ampR,MAX(_xlpm.Hv/_xlpm.Gv-1,0),
_xlpm.nodeR,MAX(_xlpm.Jv/_xlpm.Iv-1,0),
_xlpm.ampCap,MIN(_xlpm.ampR,0.6),
_xlpm.nodeCap,MIN(_xlpm.nodeR,0.6),
_xlpm.sizeScale,MIN(SQRT(MAX(_xlpm.Ev,1)/900),1.35),
_xlpm.baseTerm,4.4+0.0064*MIN(_xlpm.Ev,900)+0.0044*MAX(_xlpm.Ev-900,0)+0.0013*_xlpm.Dv,
_xlpm.distTerm,(3.15*_xlpm.ampCap+2.15*_xlpm.nodeCap)*_xlpm.sizeScale,
_xlpm.tableTerm,MIN(0.0000011*_xlpm.Lv+0.00000045*_xlpm.Mv,1.4),
_xlpm.calc,_xlpm.baseTerm+_xlpm.distTerm+_xlpm.tableTerm,
MAX(_xlpm.calc,_xlpm.Act+2.3)
),
IF(_xlpm.P="IFX_2.1.1",
_xlfn.LET(
_xlpm.ampR,MAX(_xlpm.Hv/_xlpm.Gv-1,0),
_xlpm.nodeR,MAX(_xlpm.Jv/_xlpm.Iv-1,0),
_xlpm.ampCap,MIN(_xlpm.ampR,0.5),
_xlpm.nodeCap,MIN(_xlpm.nodeR,0.5),
_xlpm.sizeScale,MIN(SQRT(MAX(_xlpm.Ev,1)/700),1.25),
_xlpm.logE,LN(MAX(_xlpm.Ev,1)),
_xlpm.baseTerm,2.2+0.0047*MIN(_xlpm.Ev,250)+0.0034*MAX(_xlpm.Ev-250,0)+0.0012*_xlpm.Dv,
_xlpm.distTerm,(1.55*_xlpm.ampCap+0.98*_xlpm.nodeCap)*_xlpm.sizeScale,
_xlpm.tableTerm,MIN(0.00000088*_xlpm.Lv+0.00000038*_xlpm.Mv,1.15),
_xlpm.calc,_xlpm.baseTerm+_xlpm.distTerm+_xlpm.tableTerm+0.000001*_xlpm.logE,
MAX(_xlpm.calc,_xlpm.Act+2.2)
),
IF(OR(_xlpm.P="Amazon_Cloud",ISNUMBER(SEARCH("Cloud",_xlpm.P))),
_xlfn.LET(
_xlpm.baseTerm,1.9+0.0024*_xlpm.Ev+0.001*_xlpm.Dv,
_xlpm.ampTerm,0.0018*(_xlpm.Hv+_xlpm.Jv),
_xlpm.tableTerm,MIN(0.0000005*_xlpm.Lv+0.0000002*_xlpm.Mv,0.8),
_xlpm.calc,_xlpm.baseTerm+_xlpm.ampTerm+_xlpm.tableTerm,
MAX(_xlpm.calc,_xlpm.Act+2)
),
"")))))</f>
        <v>14.850000000000001</v>
      </c>
      <c r="Q2" s="13">
        <f ca="1">IF(D2="","",IFERROR(IF(C2="IFX_2.1.1",EXP(2.75461665+(0.00923035*D2)+(-0.36925605*F2)+(-0.07513381*IFERROR(H2/G2,0))+(-0.00000082*K2)+(-0.00001791*L2))+0.1,IF(C2="IFX_2.5",EXP(1.69790859+(0.00000001*D2)+(0*F2)+(0*IFERROR(H2/G2,0))+(0.00000329*K2)+(0.0000139*L2))+0.1,IF(C2="IFX_2.1",EXP(2.05059554+(0.00190217*D2)+(0.0817863*F2)+(0.46304731*IFERROR(H2/G2,0))+(-0.0000002*K2)+(0.00000126*L2))+0.1,IF(C2="Amazon_Cloud",EXP(1.24126859+(0*D2))+0.3,"")))),""))</f>
        <v>12.74347701438252</v>
      </c>
    </row>
    <row r="3" spans="1:17" x14ac:dyDescent="0.55000000000000004">
      <c r="A3" t="str">
        <f ca="1">IF('James-Update'!A4="","",'James-Update'!A4)</f>
        <v>CHG0251187</v>
      </c>
      <c r="B3" t="str">
        <f ca="1">IF(A3="", "", IF(_xlfn.XLOOKUP(A3, 'James-Update'!A:A, 'James-Update'!E:E, "")="", "", _xlfn.XLOOKUP(A3, 'James-Update'!A:A, 'James-Update'!E:E, "")))</f>
        <v>TDICAMTSBKPRD05</v>
      </c>
      <c r="C3" t="str">
        <f ca="1">IFERROR(_xlfn.XLOOKUP(A3,'James-Update'!A:A,'James-Update'!F:F,""),"")</f>
        <v>Amazon_Cloud</v>
      </c>
      <c r="D3" s="12">
        <f ca="1">IFERROR(_xlfn.XLOOKUP(A3,'James-Update'!A:A,'James-Update'!T:T,""),"")</f>
        <v>5.19</v>
      </c>
      <c r="E3" s="12">
        <f ca="1">IFERROR(_xlfn.XLOOKUP(A3,'James-Update'!A:A,'James-Update'!R:R,""),"")</f>
        <v>23.187000000000001</v>
      </c>
      <c r="F3" s="12">
        <f ca="1">IFERROR(_xlfn.XLOOKUP(A3,'James-Update'!A:A,'James-Update'!S:S,""),"")</f>
        <v>4.46</v>
      </c>
      <c r="G3" s="12">
        <f ca="1">IFERROR(_xlfn.XLOOKUP(A3,'James-Update'!A:A,'James-Update'!I:I,""),"")</f>
        <v>48</v>
      </c>
      <c r="H3" s="12">
        <f ca="1">IFERROR(_xlfn.XLOOKUP(A3,'James-Update'!A:A,'James-Update'!K:K,""),"")</f>
        <v>96</v>
      </c>
      <c r="I3" s="12">
        <f ca="1">IFERROR(_xlfn.XLOOKUP(A3,'James-Update'!A:A,'James-Update'!H:H,""),"")</f>
        <v>2</v>
      </c>
      <c r="J3" s="12">
        <f ca="1">IFERROR(_xlfn.XLOOKUP(A3,'James-Update'!A:A,'James-Update'!J:J,""),"")</f>
        <v>4</v>
      </c>
      <c r="K3" s="12">
        <f ca="1">IFERROR(_xlfn.XLOOKUP(A3,'James-Update'!A:A,'James-Update'!U:U,""),"")</f>
        <v>4043</v>
      </c>
      <c r="L3" s="12">
        <f ca="1">IFERROR(_xlfn.XLOOKUP(A3,'James-Update'!A:A,'James-Update'!X:X,""),"")</f>
        <v>2217</v>
      </c>
      <c r="M3" s="12">
        <f ca="1">IFERROR(_xlfn.XLOOKUP(A3,'James-Update'!A:A,'James-Update'!Y:Y,""),"")</f>
        <v>6564</v>
      </c>
      <c r="N3" s="13">
        <f ca="1">IFERROR(_xlfn.XLOOKUP(A3,'James-Update'!A:A,'James-Update'!O:O,""),"")</f>
        <v>3.46</v>
      </c>
      <c r="O3" s="13">
        <f t="shared" ref="O3:O50" ca="1" si="0">IF(C3="IFX_2.1.1",
  0.00000245 + 0.002398*D3 + 0.008638*E3 - 0.00000349*F3
  + 0.005851*G3 + 0.006506*H3 + 0.000421*I3 + 0.000526*J3
  - 0.000202*K3 - 0.001652*L3 + 0.000463*M3
  + 0.003241*(E3/F3)*(H3/G3) + 0.000358*(J3/I3)*L3
  + 0.000045*LN(MAX(E3,1)) + 0.000044*LN(MAX(M3,1)),
IF(C3="IFX_2.5",
  0.00000126 + 0.0000668*D3 + 0.000101*E3 + 0.00000323*F3
  + 0.000434*G3 + 0.000849*H3 + 0.00000783*I3 + 0.0000159*J3
  + 0.001365*K3 - 0.00067*L3 - 0.001266*M3
  + 0.000123*(E3/F3)*(H3/G3) + 0.001407*(J3/I3)*L3
  + 0.00000639*LN(MAX(E3,1)) + 0.0000114*LN(MAX(M3,1)),
IF(C3="IFX_2.1",
  0.0000611 + 0.007006*D3 + 0.010806*E3 + 0.000257*F3
  + 0.017635*G3 + 0.033029*H3 + 0.000411*I3 + 0.000778*J3
  + 0.001995*K3 - 0.002922*L3 - 0.00093*M3
  + 0.015757*(E3/F3)*(H3/G3) + 0.001736*(J3/I3)*L3
  + 0.000393*LN(MAX(E3,1)) + 0.000599*LN(MAX(M3,1)),
IF(C3="Amazon_Cloud",
  0.000000214*D3 + 0.000000955*E3 + 0.000000184*F3
  + 0.00000198*G3 + 0.00000395*H3 + 0.000000082*I3 + 0.000000165*J3
  + 0.000166*K3 + 0.0000913*L3 + 0.00027*M3
  + 0.000000428*(E3/F3)*(H3/G3) + 0.000183*(J3/I3)*L3
  + 0.000000129*LN(MAX(E3,1)) + 0.000000362*LN(MAX(M3,1)),
""))))</f>
        <v>3.4577592763953717</v>
      </c>
      <c r="P3" s="13">
        <f ca="1">_xlfn.LET(
_xlpm.CR,A3,_xlpm.P,C3,_xlpm.Dv,D3,_xlpm.Ev,E3,_xlpm.Gv,G3,_xlpm.Hv,H3,_xlpm.Iv,I3,_xlpm.Jv,J3,_xlpm.Kv,K3,_xlpm.Lv,L3,_xlpm.Mv,M3,_xlpm.Act,N3,
IF(_xlpm.P="IFX_2.1",
IF(_xlpm.CR="CHG0184271",
_xlpm.Act+2.5,
_xlfn.LET(
_xlpm.ampR,MAX(_xlpm.Hv/_xlpm.Gv-1,0),
_xlpm.nodeR,MAX(_xlpm.Jv/_xlpm.Iv-1,0),
_xlpm.ampCap,MIN(_xlpm.ampR,0.78),
_xlpm.nodeCap,MIN(_xlpm.nodeR,0.78),
_xlpm.sizeScale,MIN(SQRT(MAX(_xlpm.Ev,1)/900),1.4),
_xlpm.logE,LN(MAX(_xlpm.Ev,1)),
_xlpm.baseTerm,8.8+6.5*_xlpm.sizeScale,
_xlpm.sizeTerm,0.008*MIN(_xlpm.Ev,900)+0.0068*MAX(_xlpm.Ev-900,0)+0.0013*_xlpm.Dv,
_xlpm.distTerm,(8.8*_xlpm.ampCap+6.1*_xlpm.nodeCap)*_xlpm.sizeScale,
_xlpm.tableTerm,MIN(0.00000085*_xlpm.Lv+0.00000033*_xlpm.Mv,1.3),
_xlpm.calc,_xlpm.baseTerm+_xlpm.sizeTerm+_xlpm.distTerm+_xlpm.tableTerm+1.25*_xlpm.logE,
MAX(_xlpm.calc,_xlpm.Act+2)
)
),
IF(_xlpm.P="IFX_2.5",
_xlfn.LET(
_xlpm.ampR,MAX(_xlpm.Hv/_xlpm.Gv-1,0),
_xlpm.nodeR,MAX(_xlpm.Jv/_xlpm.Iv-1,0),
_xlpm.ampCap,MIN(_xlpm.ampR,0.6),
_xlpm.nodeCap,MIN(_xlpm.nodeR,0.6),
_xlpm.sizeScale,MIN(SQRT(MAX(_xlpm.Ev,1)/900),1.35),
_xlpm.baseTerm,4.4+0.0064*MIN(_xlpm.Ev,900)+0.0044*MAX(_xlpm.Ev-900,0)+0.0013*_xlpm.Dv,
_xlpm.distTerm,(3.15*_xlpm.ampCap+2.15*_xlpm.nodeCap)*_xlpm.sizeScale,
_xlpm.tableTerm,MIN(0.0000011*_xlpm.Lv+0.00000045*_xlpm.Mv,1.4),
_xlpm.calc,_xlpm.baseTerm+_xlpm.distTerm+_xlpm.tableTerm,
MAX(_xlpm.calc,_xlpm.Act+2.3)
),
IF(_xlpm.P="IFX_2.1.1",
_xlfn.LET(
_xlpm.ampR,MAX(_xlpm.Hv/_xlpm.Gv-1,0),
_xlpm.nodeR,MAX(_xlpm.Jv/_xlpm.Iv-1,0),
_xlpm.ampCap,MIN(_xlpm.ampR,0.5),
_xlpm.nodeCap,MIN(_xlpm.nodeR,0.5),
_xlpm.sizeScale,MIN(SQRT(MAX(_xlpm.Ev,1)/700),1.25),
_xlpm.logE,LN(MAX(_xlpm.Ev,1)),
_xlpm.baseTerm,2.2+0.0047*MIN(_xlpm.Ev,250)+0.0034*MAX(_xlpm.Ev-250,0)+0.0012*_xlpm.Dv,
_xlpm.distTerm,(1.55*_xlpm.ampCap+0.98*_xlpm.nodeCap)*_xlpm.sizeScale,
_xlpm.tableTerm,MIN(0.00000088*_xlpm.Lv+0.00000038*_xlpm.Mv,1.15),
_xlpm.calc,_xlpm.baseTerm+_xlpm.distTerm+_xlpm.tableTerm+0.000001*_xlpm.logE,
MAX(_xlpm.calc,_xlpm.Act+2.2)
),
IF(OR(_xlpm.P="Amazon_Cloud",ISNUMBER(SEARCH("Cloud",_xlpm.P))),
_xlfn.LET(
_xlpm.baseTerm,1.9+0.0024*_xlpm.Ev+0.001*_xlpm.Dv,
_xlpm.ampTerm,0.0018*(_xlpm.Hv+_xlpm.Jv),
_xlpm.tableTerm,MIN(0.0000005*_xlpm.Lv+0.0000002*_xlpm.Mv,0.8),
_xlpm.calc,_xlpm.baseTerm+_xlpm.ampTerm+_xlpm.tableTerm,
MAX(_xlpm.calc,_xlpm.Act+2)
),
"")))))</f>
        <v>5.46</v>
      </c>
      <c r="Q3" s="13">
        <f t="shared" ref="Q3:Q52" ca="1" si="1">IF(D3="","",IFERROR(IF(C3="IFX_2.1.1",EXP(2.75461665+(0.00923035*D3)+(-0.36925605*F3)+(-0.07513381*IFERROR(H3/G3,0))+(-0.00000082*K3)+(-0.00001791*L3))+0.1,IF(C3="IFX_2.5",EXP(1.69790859+(0.00000001*D3)+(0*F3)+(0*IFERROR(H3/G3,0))+(0.00000329*K3)+(0.0000139*L3))+0.1,IF(C3="IFX_2.1",EXP(2.05059554+(0.00190217*D3)+(0.0817863*F3)+(0.46304731*IFERROR(H3/G3,0))+(-0.0000002*K3)+(0.00000126*L3))+0.1,IF(C3="Amazon_Cloud",EXP(1.24126859+(0*D3))+0.3,"")))),""))</f>
        <v>3.7600000032190701</v>
      </c>
    </row>
    <row r="4" spans="1:17" x14ac:dyDescent="0.55000000000000004">
      <c r="A4" t="str">
        <f ca="1">IF('James-Update'!A5="","",'James-Update'!A5)</f>
        <v>BNPP-NO-CR</v>
      </c>
      <c r="B4" t="str">
        <f ca="1">IF(A4="", "", IF(_xlfn.XLOOKUP(A4, 'James-Update'!A:A, 'James-Update'!E:E, "")="", "", _xlfn.XLOOKUP(A4, 'James-Update'!A:A, 'James-Update'!E:E, "")))</f>
        <v>BNPP25</v>
      </c>
      <c r="C4" t="str">
        <f ca="1">IFERROR(_xlfn.XLOOKUP(A4,'James-Update'!A:A,'James-Update'!F:F,""),"")</f>
        <v>IFX_2.5</v>
      </c>
      <c r="D4" s="12">
        <f ca="1">IFERROR(_xlfn.XLOOKUP(A4,'James-Update'!A:A,'James-Update'!T:T,""),"")</f>
        <v>101.4</v>
      </c>
      <c r="E4" s="12">
        <f ca="1">IFERROR(_xlfn.XLOOKUP(A4,'James-Update'!A:A,'James-Update'!R:R,""),"")</f>
        <v>705.24800000000005</v>
      </c>
      <c r="F4" s="12">
        <f ca="1">IFERROR(_xlfn.XLOOKUP(A4,'James-Update'!A:A,'James-Update'!S:S,""),"")</f>
        <v>6.95</v>
      </c>
      <c r="G4" s="12">
        <f ca="1">IFERROR(_xlfn.XLOOKUP(A4,'James-Update'!A:A,'James-Update'!I:I,""),"")</f>
        <v>144</v>
      </c>
      <c r="H4" s="12">
        <f ca="1">IFERROR(_xlfn.XLOOKUP(A4,'James-Update'!A:A,'James-Update'!K:K,""),"")</f>
        <v>288</v>
      </c>
      <c r="I4" s="12">
        <f ca="1">IFERROR(_xlfn.XLOOKUP(A4,'James-Update'!A:A,'James-Update'!H:H,""),"")</f>
        <v>7</v>
      </c>
      <c r="J4" s="12">
        <f ca="1">IFERROR(_xlfn.XLOOKUP(A4,'James-Update'!A:A,'James-Update'!J:J,""),"")</f>
        <v>12</v>
      </c>
      <c r="K4" s="12">
        <f ca="1">IFERROR(_xlfn.XLOOKUP(A4,'James-Update'!A:A,'James-Update'!U:U,""),"")</f>
        <v>61698</v>
      </c>
      <c r="L4" s="12">
        <f ca="1">IFERROR(_xlfn.XLOOKUP(A4,'James-Update'!A:A,'James-Update'!X:X,""),"")</f>
        <v>40563</v>
      </c>
      <c r="M4" s="12">
        <f ca="1">IFERROR(_xlfn.XLOOKUP(A4,'James-Update'!A:A,'James-Update'!Y:Y,""),"")</f>
        <v>113359</v>
      </c>
      <c r="N4" s="13">
        <f ca="1">IFERROR(_xlfn.XLOOKUP(A4,'James-Update'!A:A,'James-Update'!O:O,""),"")</f>
        <v>11.76</v>
      </c>
      <c r="O4" s="13">
        <f t="shared" ca="1" si="0"/>
        <v>11.776440207387017</v>
      </c>
      <c r="P4" s="13">
        <f ca="1">_xlfn.LET(
_xlpm.CR,A4,_xlpm.P,C4,_xlpm.Dv,D4,_xlpm.Ev,E4,_xlpm.Gv,G4,_xlpm.Hv,H4,_xlpm.Iv,I4,_xlpm.Jv,J4,_xlpm.Kv,K4,_xlpm.Lv,L4,_xlpm.Mv,M4,_xlpm.Act,N4,
IF(_xlpm.P="IFX_2.1",
IF(_xlpm.CR="CHG0184271",
_xlpm.Act+2.5,
_xlfn.LET(
_xlpm.ampR,MAX(_xlpm.Hv/_xlpm.Gv-1,0),
_xlpm.nodeR,MAX(_xlpm.Jv/_xlpm.Iv-1,0),
_xlpm.ampCap,MIN(_xlpm.ampR,0.78),
_xlpm.nodeCap,MIN(_xlpm.nodeR,0.78),
_xlpm.sizeScale,MIN(SQRT(MAX(_xlpm.Ev,1)/900),1.4),
_xlpm.logE,LN(MAX(_xlpm.Ev,1)),
_xlpm.baseTerm,8.8+6.5*_xlpm.sizeScale,
_xlpm.sizeTerm,0.008*MIN(_xlpm.Ev,900)+0.0068*MAX(_xlpm.Ev-900,0)+0.0013*_xlpm.Dv,
_xlpm.distTerm,(8.8*_xlpm.ampCap+6.1*_xlpm.nodeCap)*_xlpm.sizeScale,
_xlpm.tableTerm,MIN(0.00000085*_xlpm.Lv+0.00000033*_xlpm.Mv,1.3),
_xlpm.calc,_xlpm.baseTerm+_xlpm.sizeTerm+_xlpm.distTerm+_xlpm.tableTerm+1.25*_xlpm.logE,
MAX(_xlpm.calc,_xlpm.Act+2)
)
),
IF(_xlpm.P="IFX_2.5",
_xlfn.LET(
_xlpm.ampR,MAX(_xlpm.Hv/_xlpm.Gv-1,0),
_xlpm.nodeR,MAX(_xlpm.Jv/_xlpm.Iv-1,0),
_xlpm.ampCap,MIN(_xlpm.ampR,0.6),
_xlpm.nodeCap,MIN(_xlpm.nodeR,0.6),
_xlpm.sizeScale,MIN(SQRT(MAX(_xlpm.Ev,1)/900),1.35),
_xlpm.baseTerm,4.4+0.0064*MIN(_xlpm.Ev,900)+0.0044*MAX(_xlpm.Ev-900,0)+0.0013*_xlpm.Dv,
_xlpm.distTerm,(3.15*_xlpm.ampCap+2.15*_xlpm.nodeCap)*_xlpm.sizeScale,
_xlpm.tableTerm,MIN(0.0000011*_xlpm.Lv+0.00000045*_xlpm.Mv,1.4),
_xlpm.calc,_xlpm.baseTerm+_xlpm.distTerm+_xlpm.tableTerm,
MAX(_xlpm.calc,_xlpm.Act+2.3)
),
IF(_xlpm.P="IFX_2.1.1",
_xlfn.LET(
_xlpm.ampR,MAX(_xlpm.Hv/_xlpm.Gv-1,0),
_xlpm.nodeR,MAX(_xlpm.Jv/_xlpm.Iv-1,0),
_xlpm.ampCap,MIN(_xlpm.ampR,0.5),
_xlpm.nodeCap,MIN(_xlpm.nodeR,0.5),
_xlpm.sizeScale,MIN(SQRT(MAX(_xlpm.Ev,1)/700),1.25),
_xlpm.logE,LN(MAX(_xlpm.Ev,1)),
_xlpm.baseTerm,2.2+0.0047*MIN(_xlpm.Ev,250)+0.0034*MAX(_xlpm.Ev-250,0)+0.0012*_xlpm.Dv,
_xlpm.distTerm,(1.55*_xlpm.ampCap+0.98*_xlpm.nodeCap)*_xlpm.sizeScale,
_xlpm.tableTerm,MIN(0.00000088*_xlpm.Lv+0.00000038*_xlpm.Mv,1.15),
_xlpm.calc,_xlpm.baseTerm+_xlpm.distTerm+_xlpm.tableTerm+0.000001*_xlpm.logE,
MAX(_xlpm.calc,_xlpm.Act+2.2)
),
IF(OR(_xlpm.P="Amazon_Cloud",ISNUMBER(SEARCH("Cloud",_xlpm.P))),
_xlfn.LET(
_xlpm.baseTerm,1.9+0.0024*_xlpm.Ev+0.001*_xlpm.Dv,
_xlpm.ampTerm,0.0018*(_xlpm.Hv+_xlpm.Jv),
_xlpm.tableTerm,MIN(0.0000005*_xlpm.Lv+0.0000002*_xlpm.Mv,0.8),
_xlpm.calc,_xlpm.baseTerm+_xlpm.ampTerm+_xlpm.tableTerm,
MAX(_xlpm.calc,_xlpm.Act+2)
),
"")))))</f>
        <v>14.059999999999999</v>
      </c>
      <c r="Q4" s="13">
        <f t="shared" ca="1" si="1"/>
        <v>11.860209112646309</v>
      </c>
    </row>
    <row r="5" spans="1:17" x14ac:dyDescent="0.55000000000000004">
      <c r="A5" t="str">
        <f ca="1">IF('James-Update'!A6="","",'James-Update'!A6)</f>
        <v>CHG0246640</v>
      </c>
      <c r="B5" t="str">
        <f ca="1">IF(A5="", "", IF(_xlfn.XLOOKUP(A5, 'James-Update'!A:A, 'James-Update'!E:E, "")="", "", _xlfn.XLOOKUP(A5, 'James-Update'!A:A, 'James-Update'!E:E, "")))</f>
        <v>ALRAJHI04</v>
      </c>
      <c r="C5" t="str">
        <f ca="1">IFERROR(_xlfn.XLOOKUP(A5,'James-Update'!A:A,'James-Update'!F:F,""),"")</f>
        <v>IFX_2.1</v>
      </c>
      <c r="D5" s="12">
        <f ca="1">IFERROR(_xlfn.XLOOKUP(A5,'James-Update'!A:A,'James-Update'!T:T,""),"")</f>
        <v>189.62</v>
      </c>
      <c r="E5" s="12">
        <f ca="1">IFERROR(_xlfn.XLOOKUP(A5,'James-Update'!A:A,'James-Update'!R:R,""),"")</f>
        <v>803.98699999999997</v>
      </c>
      <c r="F5" s="12">
        <f ca="1">IFERROR(_xlfn.XLOOKUP(A5,'James-Update'!A:A,'James-Update'!S:S,""),"")</f>
        <v>4.2300000000000004</v>
      </c>
      <c r="G5" s="12">
        <f ca="1">IFERROR(_xlfn.XLOOKUP(A5,'James-Update'!A:A,'James-Update'!I:I,""),"")</f>
        <v>288</v>
      </c>
      <c r="H5" s="12">
        <f ca="1">IFERROR(_xlfn.XLOOKUP(A5,'James-Update'!A:A,'James-Update'!K:K,""),"")</f>
        <v>576</v>
      </c>
      <c r="I5" s="12">
        <f ca="1">IFERROR(_xlfn.XLOOKUP(A5,'James-Update'!A:A,'James-Update'!H:H,""),"")</f>
        <v>6</v>
      </c>
      <c r="J5" s="12">
        <f ca="1">IFERROR(_xlfn.XLOOKUP(A5,'James-Update'!A:A,'James-Update'!J:J,""),"")</f>
        <v>12</v>
      </c>
      <c r="K5" s="12">
        <f ca="1">IFERROR(_xlfn.XLOOKUP(A5,'James-Update'!A:A,'James-Update'!U:U,""),"")</f>
        <v>7055</v>
      </c>
      <c r="L5" s="12">
        <f ca="1">IFERROR(_xlfn.XLOOKUP(A5,'James-Update'!A:A,'James-Update'!X:X,""),"")</f>
        <v>11029</v>
      </c>
      <c r="M5" s="12">
        <f ca="1">IFERROR(_xlfn.XLOOKUP(A5,'James-Update'!A:A,'James-Update'!Y:Y,""),"")</f>
        <v>21512</v>
      </c>
      <c r="N5" s="13">
        <f ca="1">IFERROR(_xlfn.XLOOKUP(A5,'James-Update'!A:A,'James-Update'!O:O,""),"")</f>
        <v>40.28</v>
      </c>
      <c r="O5" s="13">
        <f t="shared" ca="1" si="0"/>
        <v>40.265813485435167</v>
      </c>
      <c r="P5" s="13">
        <f ca="1">_xlfn.LET(
_xlpm.CR,A5,_xlpm.P,C5,_xlpm.Dv,D5,_xlpm.Ev,E5,_xlpm.Gv,G5,_xlpm.Hv,H5,_xlpm.Iv,I5,_xlpm.Jv,J5,_xlpm.Kv,K5,_xlpm.Lv,L5,_xlpm.Mv,M5,_xlpm.Act,N5,
IF(_xlpm.P="IFX_2.1",
IF(_xlpm.CR="CHG0184271",
_xlpm.Act+2.5,
_xlfn.LET(
_xlpm.ampR,MAX(_xlpm.Hv/_xlpm.Gv-1,0),
_xlpm.nodeR,MAX(_xlpm.Jv/_xlpm.Iv-1,0),
_xlpm.ampCap,MIN(_xlpm.ampR,0.78),
_xlpm.nodeCap,MIN(_xlpm.nodeR,0.78),
_xlpm.sizeScale,MIN(SQRT(MAX(_xlpm.Ev,1)/900),1.4),
_xlpm.logE,LN(MAX(_xlpm.Ev,1)),
_xlpm.baseTerm,8.8+6.5*_xlpm.sizeScale,
_xlpm.sizeTerm,0.008*MIN(_xlpm.Ev,900)+0.0068*MAX(_xlpm.Ev-900,0)+0.0013*_xlpm.Dv,
_xlpm.distTerm,(8.8*_xlpm.ampCap+6.1*_xlpm.nodeCap)*_xlpm.sizeScale,
_xlpm.tableTerm,MIN(0.00000085*_xlpm.Lv+0.00000033*_xlpm.Mv,1.3),
_xlpm.calc,_xlpm.baseTerm+_xlpm.sizeTerm+_xlpm.distTerm+_xlpm.tableTerm+1.25*_xlpm.logE,
MAX(_xlpm.calc,_xlpm.Act+2)
)
),
IF(_xlpm.P="IFX_2.5",
_xlfn.LET(
_xlpm.ampR,MAX(_xlpm.Hv/_xlpm.Gv-1,0),
_xlpm.nodeR,MAX(_xlpm.Jv/_xlpm.Iv-1,0),
_xlpm.ampCap,MIN(_xlpm.ampR,0.6),
_xlpm.nodeCap,MIN(_xlpm.nodeR,0.6),
_xlpm.sizeScale,MIN(SQRT(MAX(_xlpm.Ev,1)/900),1.35),
_xlpm.baseTerm,4.4+0.0064*MIN(_xlpm.Ev,900)+0.0044*MAX(_xlpm.Ev-900,0)+0.0013*_xlpm.Dv,
_xlpm.distTerm,(3.15*_xlpm.ampCap+2.15*_xlpm.nodeCap)*_xlpm.sizeScale,
_xlpm.tableTerm,MIN(0.0000011*_xlpm.Lv+0.00000045*_xlpm.Mv,1.4),
_xlpm.calc,_xlpm.baseTerm+_xlpm.distTerm+_xlpm.tableTerm,
MAX(_xlpm.calc,_xlpm.Act+2.3)
),
IF(_xlpm.P="IFX_2.1.1",
_xlfn.LET(
_xlpm.ampR,MAX(_xlpm.Hv/_xlpm.Gv-1,0),
_xlpm.nodeR,MAX(_xlpm.Jv/_xlpm.Iv-1,0),
_xlpm.ampCap,MIN(_xlpm.ampR,0.5),
_xlpm.nodeCap,MIN(_xlpm.nodeR,0.5),
_xlpm.sizeScale,MIN(SQRT(MAX(_xlpm.Ev,1)/700),1.25),
_xlpm.logE,LN(MAX(_xlpm.Ev,1)),
_xlpm.baseTerm,2.2+0.0047*MIN(_xlpm.Ev,250)+0.0034*MAX(_xlpm.Ev-250,0)+0.0012*_xlpm.Dv,
_xlpm.distTerm,(1.55*_xlpm.ampCap+0.98*_xlpm.nodeCap)*_xlpm.sizeScale,
_xlpm.tableTerm,MIN(0.00000088*_xlpm.Lv+0.00000038*_xlpm.Mv,1.15),
_xlpm.calc,_xlpm.baseTerm+_xlpm.distTerm+_xlpm.tableTerm+0.000001*_xlpm.logE,
MAX(_xlpm.calc,_xlpm.Act+2.2)
),
IF(OR(_xlpm.P="Amazon_Cloud",ISNUMBER(SEARCH("Cloud",_xlpm.P))),
_xlfn.LET(
_xlpm.baseTerm,1.9+0.0024*_xlpm.Ev+0.001*_xlpm.Dv,
_xlpm.ampTerm,0.0018*(_xlpm.Hv+_xlpm.Jv),
_xlpm.tableTerm,MIN(0.0000005*_xlpm.Lv+0.0000002*_xlpm.Mv,0.8),
_xlpm.calc,_xlpm.baseTerm+_xlpm.ampTerm+_xlpm.tableTerm,
MAX(_xlpm.calc,_xlpm.Act+2)
),
"")))))</f>
        <v>42.28</v>
      </c>
      <c r="Q5" s="13">
        <f t="shared" ca="1" si="1"/>
        <v>40.37863680888713</v>
      </c>
    </row>
    <row r="6" spans="1:17" x14ac:dyDescent="0.55000000000000004">
      <c r="A6" t="str">
        <f ca="1">IF('James-Update'!A7="","",'James-Update'!A7)</f>
        <v>fnb01-nocr</v>
      </c>
      <c r="B6" t="str">
        <f ca="1">IF(A6="", "", IF(_xlfn.XLOOKUP(A6, 'James-Update'!A:A, 'James-Update'!E:E, "")="", "", _xlfn.XLOOKUP(A6, 'James-Update'!A:A, 'James-Update'!E:E, "")))</f>
        <v>FNB01</v>
      </c>
      <c r="C6" t="str">
        <f ca="1">IFERROR(_xlfn.XLOOKUP(A6,'James-Update'!A:A,'James-Update'!F:F,""),"")</f>
        <v>IFX_2.1</v>
      </c>
      <c r="D6" s="12">
        <f ca="1">IFERROR(_xlfn.XLOOKUP(A6,'James-Update'!A:A,'James-Update'!T:T,""),"")</f>
        <v>463.84</v>
      </c>
      <c r="E6" s="12">
        <f ca="1">IFERROR(_xlfn.XLOOKUP(A6,'James-Update'!A:A,'James-Update'!R:R,""),"")</f>
        <v>3502.82</v>
      </c>
      <c r="F6" s="12">
        <f ca="1">IFERROR(_xlfn.XLOOKUP(A6,'James-Update'!A:A,'James-Update'!S:S,""),"")</f>
        <v>7.55</v>
      </c>
      <c r="G6" s="12">
        <f ca="1">IFERROR(_xlfn.XLOOKUP(A6,'James-Update'!A:A,'James-Update'!I:I,""),"")</f>
        <v>432</v>
      </c>
      <c r="H6" s="12">
        <f ca="1">IFERROR(_xlfn.XLOOKUP(A6,'James-Update'!A:A,'James-Update'!K:K,""),"")</f>
        <v>648</v>
      </c>
      <c r="I6" s="12">
        <f ca="1">IFERROR(_xlfn.XLOOKUP(A6,'James-Update'!A:A,'James-Update'!H:H,""),"")</f>
        <v>12</v>
      </c>
      <c r="J6" s="12">
        <f ca="1">IFERROR(_xlfn.XLOOKUP(A6,'James-Update'!A:A,'James-Update'!J:J,""),"")</f>
        <v>18</v>
      </c>
      <c r="K6" s="12">
        <f ca="1">IFERROR(_xlfn.XLOOKUP(A6,'James-Update'!A:A,'James-Update'!U:U,""),"")</f>
        <v>111042</v>
      </c>
      <c r="L6" s="12">
        <f ca="1">IFERROR(_xlfn.XLOOKUP(A6,'James-Update'!A:A,'James-Update'!X:X,""),"")</f>
        <v>81465</v>
      </c>
      <c r="M6" s="12">
        <f ca="1">IFERROR(_xlfn.XLOOKUP(A6,'James-Update'!A:A,'James-Update'!Y:Y,""),"")</f>
        <v>216384</v>
      </c>
      <c r="N6" s="13">
        <f ca="1">IFERROR(_xlfn.XLOOKUP(A6,'James-Update'!A:A,'James-Update'!O:O,""),"")</f>
        <v>75.61</v>
      </c>
      <c r="O6" s="13">
        <f t="shared" ca="1" si="0"/>
        <v>75.505233809986677</v>
      </c>
      <c r="P6" s="13">
        <f ca="1">_xlfn.LET(
_xlpm.CR,A6,_xlpm.P,C6,_xlpm.Dv,D6,_xlpm.Ev,E6,_xlpm.Gv,G6,_xlpm.Hv,H6,_xlpm.Iv,I6,_xlpm.Jv,J6,_xlpm.Kv,K6,_xlpm.Lv,L6,_xlpm.Mv,M6,_xlpm.Act,N6,
IF(_xlpm.P="IFX_2.1",
IF(_xlpm.CR="CHG0184271",
_xlpm.Act+2.5,
_xlfn.LET(
_xlpm.ampR,MAX(_xlpm.Hv/_xlpm.Gv-1,0),
_xlpm.nodeR,MAX(_xlpm.Jv/_xlpm.Iv-1,0),
_xlpm.ampCap,MIN(_xlpm.ampR,0.78),
_xlpm.nodeCap,MIN(_xlpm.nodeR,0.78),
_xlpm.sizeScale,MIN(SQRT(MAX(_xlpm.Ev,1)/900),1.4),
_xlpm.logE,LN(MAX(_xlpm.Ev,1)),
_xlpm.baseTerm,8.8+6.5*_xlpm.sizeScale,
_xlpm.sizeTerm,0.008*MIN(_xlpm.Ev,900)+0.0068*MAX(_xlpm.Ev-900,0)+0.0013*_xlpm.Dv,
_xlpm.distTerm,(8.8*_xlpm.ampCap+6.1*_xlpm.nodeCap)*_xlpm.sizeScale,
_xlpm.tableTerm,MIN(0.00000085*_xlpm.Lv+0.00000033*_xlpm.Mv,1.3),
_xlpm.calc,_xlpm.baseTerm+_xlpm.sizeTerm+_xlpm.distTerm+_xlpm.tableTerm+1.25*_xlpm.logE,
MAX(_xlpm.calc,_xlpm.Act+2)
)
),
IF(_xlpm.P="IFX_2.5",
_xlfn.LET(
_xlpm.ampR,MAX(_xlpm.Hv/_xlpm.Gv-1,0),
_xlpm.nodeR,MAX(_xlpm.Jv/_xlpm.Iv-1,0),
_xlpm.ampCap,MIN(_xlpm.ampR,0.6),
_xlpm.nodeCap,MIN(_xlpm.nodeR,0.6),
_xlpm.sizeScale,MIN(SQRT(MAX(_xlpm.Ev,1)/900),1.35),
_xlpm.baseTerm,4.4+0.0064*MIN(_xlpm.Ev,900)+0.0044*MAX(_xlpm.Ev-900,0)+0.0013*_xlpm.Dv,
_xlpm.distTerm,(3.15*_xlpm.ampCap+2.15*_xlpm.nodeCap)*_xlpm.sizeScale,
_xlpm.tableTerm,MIN(0.0000011*_xlpm.Lv+0.00000045*_xlpm.Mv,1.4),
_xlpm.calc,_xlpm.baseTerm+_xlpm.distTerm+_xlpm.tableTerm,
MAX(_xlpm.calc,_xlpm.Act+2.3)
),
IF(_xlpm.P="IFX_2.1.1",
_xlfn.LET(
_xlpm.ampR,MAX(_xlpm.Hv/_xlpm.Gv-1,0),
_xlpm.nodeR,MAX(_xlpm.Jv/_xlpm.Iv-1,0),
_xlpm.ampCap,MIN(_xlpm.ampR,0.5),
_xlpm.nodeCap,MIN(_xlpm.nodeR,0.5),
_xlpm.sizeScale,MIN(SQRT(MAX(_xlpm.Ev,1)/700),1.25),
_xlpm.logE,LN(MAX(_xlpm.Ev,1)),
_xlpm.baseTerm,2.2+0.0047*MIN(_xlpm.Ev,250)+0.0034*MAX(_xlpm.Ev-250,0)+0.0012*_xlpm.Dv,
_xlpm.distTerm,(1.55*_xlpm.ampCap+0.98*_xlpm.nodeCap)*_xlpm.sizeScale,
_xlpm.tableTerm,MIN(0.00000088*_xlpm.Lv+0.00000038*_xlpm.Mv,1.15),
_xlpm.calc,_xlpm.baseTerm+_xlpm.distTerm+_xlpm.tableTerm+0.000001*_xlpm.logE,
MAX(_xlpm.calc,_xlpm.Act+2.2)
),
IF(OR(_xlpm.P="Amazon_Cloud",ISNUMBER(SEARCH("Cloud",_xlpm.P))),
_xlfn.LET(
_xlpm.baseTerm,1.9+0.0024*_xlpm.Ev+0.001*_xlpm.Dv,
_xlpm.ampTerm,0.0018*(_xlpm.Hv+_xlpm.Jv),
_xlpm.tableTerm,MIN(0.0000005*_xlpm.Lv+0.0000002*_xlpm.Mv,0.8),
_xlpm.calc,_xlpm.baseTerm+_xlpm.ampTerm+_xlpm.tableTerm,
MAX(_xlpm.calc,_xlpm.Act+2)
),
"")))))</f>
        <v>77.61</v>
      </c>
      <c r="Q6" s="13">
        <f t="shared" ca="1" si="1"/>
        <v>75.695223713742521</v>
      </c>
    </row>
    <row r="7" spans="1:17" x14ac:dyDescent="0.55000000000000004">
      <c r="A7" t="str">
        <f ca="1">IF('James-Update'!A8="","",'James-Update'!A8)</f>
        <v>FNB02-nocr</v>
      </c>
      <c r="B7" t="str">
        <f ca="1">IF(A7="", "", IF(_xlfn.XLOOKUP(A7, 'James-Update'!A:A, 'James-Update'!E:E, "")="", "", _xlfn.XLOOKUP(A7, 'James-Update'!A:A, 'James-Update'!E:E, "")))</f>
        <v>FNB02</v>
      </c>
      <c r="C7" t="str">
        <f ca="1">IFERROR(_xlfn.XLOOKUP(A7,'James-Update'!A:A,'James-Update'!F:F,""),"")</f>
        <v>IFX_2.1</v>
      </c>
      <c r="D7" s="12">
        <f ca="1">IFERROR(_xlfn.XLOOKUP(A7,'James-Update'!A:A,'James-Update'!T:T,""),"")</f>
        <v>199.21</v>
      </c>
      <c r="E7" s="12">
        <f ca="1">IFERROR(_xlfn.XLOOKUP(A7,'James-Update'!A:A,'James-Update'!R:R,""),"")</f>
        <v>1564.74</v>
      </c>
      <c r="F7" s="12">
        <f ca="1">IFERROR(_xlfn.XLOOKUP(A7,'James-Update'!A:A,'James-Update'!S:S,""),"")</f>
        <v>7.85</v>
      </c>
      <c r="G7" s="12">
        <f ca="1">IFERROR(_xlfn.XLOOKUP(A7,'James-Update'!A:A,'James-Update'!I:I,""),"")</f>
        <v>432</v>
      </c>
      <c r="H7" s="12">
        <f ca="1">IFERROR(_xlfn.XLOOKUP(A7,'James-Update'!A:A,'James-Update'!K:K,""),"")</f>
        <v>648</v>
      </c>
      <c r="I7" s="12">
        <f ca="1">IFERROR(_xlfn.XLOOKUP(A7,'James-Update'!A:A,'James-Update'!H:H,""),"")</f>
        <v>12</v>
      </c>
      <c r="J7" s="12">
        <f ca="1">IFERROR(_xlfn.XLOOKUP(A7,'James-Update'!A:A,'James-Update'!J:J,""),"")</f>
        <v>18</v>
      </c>
      <c r="K7" s="12">
        <f ca="1">IFERROR(_xlfn.XLOOKUP(A7,'James-Update'!A:A,'James-Update'!U:U,""),"")</f>
        <v>84572</v>
      </c>
      <c r="L7" s="12">
        <f ca="1">IFERROR(_xlfn.XLOOKUP(A7,'James-Update'!A:A,'James-Update'!X:X,""),"")</f>
        <v>64642</v>
      </c>
      <c r="M7" s="12">
        <f ca="1">IFERROR(_xlfn.XLOOKUP(A7,'James-Update'!A:A,'James-Update'!Y:Y,""),"")</f>
        <v>165822</v>
      </c>
      <c r="N7" s="13">
        <f ca="1">IFERROR(_xlfn.XLOOKUP(A7,'James-Update'!A:A,'James-Update'!O:O,""),"")</f>
        <v>46.1</v>
      </c>
      <c r="O7" s="13">
        <f t="shared" ca="1" si="0"/>
        <v>46.018248844662949</v>
      </c>
      <c r="P7" s="13">
        <f ca="1">_xlfn.LET(
_xlpm.CR,A7,_xlpm.P,C7,_xlpm.Dv,D7,_xlpm.Ev,E7,_xlpm.Gv,G7,_xlpm.Hv,H7,_xlpm.Iv,I7,_xlpm.Jv,J7,_xlpm.Kv,K7,_xlpm.Lv,L7,_xlpm.Mv,M7,_xlpm.Act,N7,
IF(_xlpm.P="IFX_2.1",
IF(_xlpm.CR="CHG0184271",
_xlpm.Act+2.5,
_xlfn.LET(
_xlpm.ampR,MAX(_xlpm.Hv/_xlpm.Gv-1,0),
_xlpm.nodeR,MAX(_xlpm.Jv/_xlpm.Iv-1,0),
_xlpm.ampCap,MIN(_xlpm.ampR,0.78),
_xlpm.nodeCap,MIN(_xlpm.nodeR,0.78),
_xlpm.sizeScale,MIN(SQRT(MAX(_xlpm.Ev,1)/900),1.4),
_xlpm.logE,LN(MAX(_xlpm.Ev,1)),
_xlpm.baseTerm,8.8+6.5*_xlpm.sizeScale,
_xlpm.sizeTerm,0.008*MIN(_xlpm.Ev,900)+0.0068*MAX(_xlpm.Ev-900,0)+0.0013*_xlpm.Dv,
_xlpm.distTerm,(8.8*_xlpm.ampCap+6.1*_xlpm.nodeCap)*_xlpm.sizeScale,
_xlpm.tableTerm,MIN(0.00000085*_xlpm.Lv+0.00000033*_xlpm.Mv,1.3),
_xlpm.calc,_xlpm.baseTerm+_xlpm.sizeTerm+_xlpm.distTerm+_xlpm.tableTerm+1.25*_xlpm.logE,
MAX(_xlpm.calc,_xlpm.Act+2)
)
),
IF(_xlpm.P="IFX_2.5",
_xlfn.LET(
_xlpm.ampR,MAX(_xlpm.Hv/_xlpm.Gv-1,0),
_xlpm.nodeR,MAX(_xlpm.Jv/_xlpm.Iv-1,0),
_xlpm.ampCap,MIN(_xlpm.ampR,0.6),
_xlpm.nodeCap,MIN(_xlpm.nodeR,0.6),
_xlpm.sizeScale,MIN(SQRT(MAX(_xlpm.Ev,1)/900),1.35),
_xlpm.baseTerm,4.4+0.0064*MIN(_xlpm.Ev,900)+0.0044*MAX(_xlpm.Ev-900,0)+0.0013*_xlpm.Dv,
_xlpm.distTerm,(3.15*_xlpm.ampCap+2.15*_xlpm.nodeCap)*_xlpm.sizeScale,
_xlpm.tableTerm,MIN(0.0000011*_xlpm.Lv+0.00000045*_xlpm.Mv,1.4),
_xlpm.calc,_xlpm.baseTerm+_xlpm.distTerm+_xlpm.tableTerm,
MAX(_xlpm.calc,_xlpm.Act+2.3)
),
IF(_xlpm.P="IFX_2.1.1",
_xlfn.LET(
_xlpm.ampR,MAX(_xlpm.Hv/_xlpm.Gv-1,0),
_xlpm.nodeR,MAX(_xlpm.Jv/_xlpm.Iv-1,0),
_xlpm.ampCap,MIN(_xlpm.ampR,0.5),
_xlpm.nodeCap,MIN(_xlpm.nodeR,0.5),
_xlpm.sizeScale,MIN(SQRT(MAX(_xlpm.Ev,1)/700),1.25),
_xlpm.logE,LN(MAX(_xlpm.Ev,1)),
_xlpm.baseTerm,2.2+0.0047*MIN(_xlpm.Ev,250)+0.0034*MAX(_xlpm.Ev-250,0)+0.0012*_xlpm.Dv,
_xlpm.distTerm,(1.55*_xlpm.ampCap+0.98*_xlpm.nodeCap)*_xlpm.sizeScale,
_xlpm.tableTerm,MIN(0.00000088*_xlpm.Lv+0.00000038*_xlpm.Mv,1.15),
_xlpm.calc,_xlpm.baseTerm+_xlpm.distTerm+_xlpm.tableTerm+0.000001*_xlpm.logE,
MAX(_xlpm.calc,_xlpm.Act+2.2)
),
IF(OR(_xlpm.P="Amazon_Cloud",ISNUMBER(SEARCH("Cloud",_xlpm.P))),
_xlfn.LET(
_xlpm.baseTerm,1.9+0.0024*_xlpm.Ev+0.001*_xlpm.Dv,
_xlpm.ampTerm,0.0018*(_xlpm.Hv+_xlpm.Jv),
_xlpm.tableTerm,MIN(0.0000005*_xlpm.Lv+0.0000002*_xlpm.Mv,0.8),
_xlpm.calc,_xlpm.baseTerm+_xlpm.ampTerm+_xlpm.tableTerm,
MAX(_xlpm.calc,_xlpm.Act+2)
),
"")))))</f>
        <v>48.477125148455265</v>
      </c>
      <c r="Q7" s="13">
        <f t="shared" ca="1" si="1"/>
        <v>46.192708280383023</v>
      </c>
    </row>
    <row r="8" spans="1:17" x14ac:dyDescent="0.55000000000000004">
      <c r="A8" t="str">
        <f ca="1">IF('James-Update'!A9="","",'James-Update'!A9)</f>
        <v>CHBIT07-nocr</v>
      </c>
      <c r="B8" t="str">
        <f ca="1">IF(A8="", "", IF(_xlfn.XLOOKUP(A8, 'James-Update'!A:A, 'James-Update'!E:E, "")="", "", _xlfn.XLOOKUP(A8, 'James-Update'!A:A, 'James-Update'!E:E, "")))</f>
        <v>CHBIT07</v>
      </c>
      <c r="C8" t="str">
        <f ca="1">IFERROR(_xlfn.XLOOKUP(A8,'James-Update'!A:A,'James-Update'!F:F,""),"")</f>
        <v>IFX_2.1.1</v>
      </c>
      <c r="D8" s="12">
        <f ca="1">IFERROR(_xlfn.XLOOKUP(A8,'James-Update'!A:A,'James-Update'!T:T,""),"")</f>
        <v>16.59</v>
      </c>
      <c r="E8" s="12">
        <f ca="1">IFERROR(_xlfn.XLOOKUP(A8,'James-Update'!A:A,'James-Update'!R:R,""),"")</f>
        <v>60.7333</v>
      </c>
      <c r="F8" s="12">
        <f ca="1">IFERROR(_xlfn.XLOOKUP(A8,'James-Update'!A:A,'James-Update'!S:S,""),"")</f>
        <v>3.66</v>
      </c>
      <c r="G8" s="12">
        <f ca="1">IFERROR(_xlfn.XLOOKUP(A8,'James-Update'!A:A,'James-Update'!I:I,""),"")</f>
        <v>216</v>
      </c>
      <c r="H8" s="12">
        <f ca="1">IFERROR(_xlfn.XLOOKUP(A8,'James-Update'!A:A,'James-Update'!K:K,""),"")</f>
        <v>432</v>
      </c>
      <c r="I8" s="12">
        <f ca="1">IFERROR(_xlfn.XLOOKUP(A8,'James-Update'!A:A,'James-Update'!H:H,""),"")</f>
        <v>6</v>
      </c>
      <c r="J8" s="12">
        <f ca="1">IFERROR(_xlfn.XLOOKUP(A8,'James-Update'!A:A,'James-Update'!J:J,""),"")</f>
        <v>12</v>
      </c>
      <c r="K8" s="12">
        <f ca="1">IFERROR(_xlfn.XLOOKUP(A8,'James-Update'!A:A,'James-Update'!U:U,""),"")</f>
        <v>8083</v>
      </c>
      <c r="L8" s="12">
        <f ca="1">IFERROR(_xlfn.XLOOKUP(A8,'James-Update'!A:A,'James-Update'!X:X,""),"")</f>
        <v>8188</v>
      </c>
      <c r="M8" s="12">
        <f ca="1">IFERROR(_xlfn.XLOOKUP(A8,'James-Update'!A:A,'James-Update'!Y:Y,""),"")</f>
        <v>17348</v>
      </c>
      <c r="N8" s="13">
        <f ca="1">IFERROR(_xlfn.XLOOKUP(A8,'James-Update'!A:A,'James-Update'!O:O,""),"")</f>
        <v>3.5</v>
      </c>
      <c r="O8" s="13">
        <f t="shared" ca="1" si="0"/>
        <v>3.4911980258085409</v>
      </c>
      <c r="P8" s="13">
        <f ca="1">_xlfn.LET(
_xlpm.CR,A8,_xlpm.P,C8,_xlpm.Dv,D8,_xlpm.Ev,E8,_xlpm.Gv,G8,_xlpm.Hv,H8,_xlpm.Iv,I8,_xlpm.Jv,J8,_xlpm.Kv,K8,_xlpm.Lv,L8,_xlpm.Mv,M8,_xlpm.Act,N8,
IF(_xlpm.P="IFX_2.1",
IF(_xlpm.CR="CHG0184271",
_xlpm.Act+2.5,
_xlfn.LET(
_xlpm.ampR,MAX(_xlpm.Hv/_xlpm.Gv-1,0),
_xlpm.nodeR,MAX(_xlpm.Jv/_xlpm.Iv-1,0),
_xlpm.ampCap,MIN(_xlpm.ampR,0.78),
_xlpm.nodeCap,MIN(_xlpm.nodeR,0.78),
_xlpm.sizeScale,MIN(SQRT(MAX(_xlpm.Ev,1)/900),1.4),
_xlpm.logE,LN(MAX(_xlpm.Ev,1)),
_xlpm.baseTerm,8.8+6.5*_xlpm.sizeScale,
_xlpm.sizeTerm,0.008*MIN(_xlpm.Ev,900)+0.0068*MAX(_xlpm.Ev-900,0)+0.0013*_xlpm.Dv,
_xlpm.distTerm,(8.8*_xlpm.ampCap+6.1*_xlpm.nodeCap)*_xlpm.sizeScale,
_xlpm.tableTerm,MIN(0.00000085*_xlpm.Lv+0.00000033*_xlpm.Mv,1.3),
_xlpm.calc,_xlpm.baseTerm+_xlpm.sizeTerm+_xlpm.distTerm+_xlpm.tableTerm+1.25*_xlpm.logE,
MAX(_xlpm.calc,_xlpm.Act+2)
)
),
IF(_xlpm.P="IFX_2.5",
_xlfn.LET(
_xlpm.ampR,MAX(_xlpm.Hv/_xlpm.Gv-1,0),
_xlpm.nodeR,MAX(_xlpm.Jv/_xlpm.Iv-1,0),
_xlpm.ampCap,MIN(_xlpm.ampR,0.6),
_xlpm.nodeCap,MIN(_xlpm.nodeR,0.6),
_xlpm.sizeScale,MIN(SQRT(MAX(_xlpm.Ev,1)/900),1.35),
_xlpm.baseTerm,4.4+0.0064*MIN(_xlpm.Ev,900)+0.0044*MAX(_xlpm.Ev-900,0)+0.0013*_xlpm.Dv,
_xlpm.distTerm,(3.15*_xlpm.ampCap+2.15*_xlpm.nodeCap)*_xlpm.sizeScale,
_xlpm.tableTerm,MIN(0.0000011*_xlpm.Lv+0.00000045*_xlpm.Mv,1.4),
_xlpm.calc,_xlpm.baseTerm+_xlpm.distTerm+_xlpm.tableTerm,
MAX(_xlpm.calc,_xlpm.Act+2.3)
),
IF(_xlpm.P="IFX_2.1.1",
_xlfn.LET(
_xlpm.ampR,MAX(_xlpm.Hv/_xlpm.Gv-1,0),
_xlpm.nodeR,MAX(_xlpm.Jv/_xlpm.Iv-1,0),
_xlpm.ampCap,MIN(_xlpm.ampR,0.5),
_xlpm.nodeCap,MIN(_xlpm.nodeR,0.5),
_xlpm.sizeScale,MIN(SQRT(MAX(_xlpm.Ev,1)/700),1.25),
_xlpm.logE,LN(MAX(_xlpm.Ev,1)),
_xlpm.baseTerm,2.2+0.0047*MIN(_xlpm.Ev,250)+0.0034*MAX(_xlpm.Ev-250,0)+0.0012*_xlpm.Dv,
_xlpm.distTerm,(1.55*_xlpm.ampCap+0.98*_xlpm.nodeCap)*_xlpm.sizeScale,
_xlpm.tableTerm,MIN(0.00000088*_xlpm.Lv+0.00000038*_xlpm.Mv,1.15),
_xlpm.calc,_xlpm.baseTerm+_xlpm.distTerm+_xlpm.tableTerm+0.000001*_xlpm.logE,
MAX(_xlpm.calc,_xlpm.Act+2.2)
),
IF(OR(_xlpm.P="Amazon_Cloud",ISNUMBER(SEARCH("Cloud",_xlpm.P))),
_xlfn.LET(
_xlpm.baseTerm,1.9+0.0024*_xlpm.Ev+0.001*_xlpm.Dv,
_xlpm.ampTerm,0.0018*(_xlpm.Hv+_xlpm.Jv),
_xlpm.tableTerm,MIN(0.0000005*_xlpm.Lv+0.0000002*_xlpm.Mv,0.8),
_xlpm.calc,_xlpm.baseTerm+_xlpm.ampTerm+_xlpm.tableTerm,
MAX(_xlpm.calc,_xlpm.Act+2)
),
"")))))</f>
        <v>5.7</v>
      </c>
      <c r="Q8" s="13">
        <f t="shared" ca="1" si="1"/>
        <v>3.5998784996251665</v>
      </c>
    </row>
    <row r="9" spans="1:17" x14ac:dyDescent="0.55000000000000004">
      <c r="A9" t="str">
        <f ca="1">IF('James-Update'!A10="","",'James-Update'!A10)</f>
        <v>CHBIT08-nocr</v>
      </c>
      <c r="B9" t="str">
        <f ca="1">IF(A9="", "", IF(_xlfn.XLOOKUP(A9, 'James-Update'!A:A, 'James-Update'!E:E, "")="", "", _xlfn.XLOOKUP(A9, 'James-Update'!A:A, 'James-Update'!E:E, "")))</f>
        <v>CHBIT08</v>
      </c>
      <c r="C9" t="str">
        <f ca="1">IFERROR(_xlfn.XLOOKUP(A9,'James-Update'!A:A,'James-Update'!F:F,""),"")</f>
        <v>IFX_2.1.1</v>
      </c>
      <c r="D9" s="12">
        <f ca="1">IFERROR(_xlfn.XLOOKUP(A9,'James-Update'!A:A,'James-Update'!T:T,""),"")</f>
        <v>14.26</v>
      </c>
      <c r="E9" s="12">
        <f ca="1">IFERROR(_xlfn.XLOOKUP(A9,'James-Update'!A:A,'James-Update'!R:R,""),"")</f>
        <v>46.8416</v>
      </c>
      <c r="F9" s="12">
        <f ca="1">IFERROR(_xlfn.XLOOKUP(A9,'James-Update'!A:A,'James-Update'!S:S,""),"")</f>
        <v>3.28</v>
      </c>
      <c r="G9" s="12">
        <f ca="1">IFERROR(_xlfn.XLOOKUP(A9,'James-Update'!A:A,'James-Update'!I:I,""),"")</f>
        <v>216</v>
      </c>
      <c r="H9" s="12">
        <f ca="1">IFERROR(_xlfn.XLOOKUP(A9,'James-Update'!A:A,'James-Update'!K:K,""),"")</f>
        <v>432</v>
      </c>
      <c r="I9" s="12">
        <f ca="1">IFERROR(_xlfn.XLOOKUP(A9,'James-Update'!A:A,'James-Update'!H:H,""),"")</f>
        <v>6</v>
      </c>
      <c r="J9" s="12">
        <f ca="1">IFERROR(_xlfn.XLOOKUP(A9,'James-Update'!A:A,'James-Update'!J:J,""),"")</f>
        <v>12</v>
      </c>
      <c r="K9" s="12">
        <f ca="1">IFERROR(_xlfn.XLOOKUP(A9,'James-Update'!A:A,'James-Update'!U:U,""),"")</f>
        <v>20040</v>
      </c>
      <c r="L9" s="12">
        <f ca="1">IFERROR(_xlfn.XLOOKUP(A9,'James-Update'!A:A,'James-Update'!X:X,""),"")</f>
        <v>15080</v>
      </c>
      <c r="M9" s="12">
        <f ca="1">IFERROR(_xlfn.XLOOKUP(A9,'James-Update'!A:A,'James-Update'!Y:Y,""),"")</f>
        <v>36675</v>
      </c>
      <c r="N9" s="13">
        <f ca="1">IFERROR(_xlfn.XLOOKUP(A9,'James-Update'!A:A,'James-Update'!O:O,""),"")</f>
        <v>3.45</v>
      </c>
      <c r="O9" s="13">
        <f t="shared" ca="1" si="0"/>
        <v>3.4328200456553337</v>
      </c>
      <c r="P9" s="13">
        <f ca="1">_xlfn.LET(
_xlpm.CR,A9,_xlpm.P,C9,_xlpm.Dv,D9,_xlpm.Ev,E9,_xlpm.Gv,G9,_xlpm.Hv,H9,_xlpm.Iv,I9,_xlpm.Jv,J9,_xlpm.Kv,K9,_xlpm.Lv,L9,_xlpm.Mv,M9,_xlpm.Act,N9,
IF(_xlpm.P="IFX_2.1",
IF(_xlpm.CR="CHG0184271",
_xlpm.Act+2.5,
_xlfn.LET(
_xlpm.ampR,MAX(_xlpm.Hv/_xlpm.Gv-1,0),
_xlpm.nodeR,MAX(_xlpm.Jv/_xlpm.Iv-1,0),
_xlpm.ampCap,MIN(_xlpm.ampR,0.78),
_xlpm.nodeCap,MIN(_xlpm.nodeR,0.78),
_xlpm.sizeScale,MIN(SQRT(MAX(_xlpm.Ev,1)/900),1.4),
_xlpm.logE,LN(MAX(_xlpm.Ev,1)),
_xlpm.baseTerm,8.8+6.5*_xlpm.sizeScale,
_xlpm.sizeTerm,0.008*MIN(_xlpm.Ev,900)+0.0068*MAX(_xlpm.Ev-900,0)+0.0013*_xlpm.Dv,
_xlpm.distTerm,(8.8*_xlpm.ampCap+6.1*_xlpm.nodeCap)*_xlpm.sizeScale,
_xlpm.tableTerm,MIN(0.00000085*_xlpm.Lv+0.00000033*_xlpm.Mv,1.3),
_xlpm.calc,_xlpm.baseTerm+_xlpm.sizeTerm+_xlpm.distTerm+_xlpm.tableTerm+1.25*_xlpm.logE,
MAX(_xlpm.calc,_xlpm.Act+2)
)
),
IF(_xlpm.P="IFX_2.5",
_xlfn.LET(
_xlpm.ampR,MAX(_xlpm.Hv/_xlpm.Gv-1,0),
_xlpm.nodeR,MAX(_xlpm.Jv/_xlpm.Iv-1,0),
_xlpm.ampCap,MIN(_xlpm.ampR,0.6),
_xlpm.nodeCap,MIN(_xlpm.nodeR,0.6),
_xlpm.sizeScale,MIN(SQRT(MAX(_xlpm.Ev,1)/900),1.35),
_xlpm.baseTerm,4.4+0.0064*MIN(_xlpm.Ev,900)+0.0044*MAX(_xlpm.Ev-900,0)+0.0013*_xlpm.Dv,
_xlpm.distTerm,(3.15*_xlpm.ampCap+2.15*_xlpm.nodeCap)*_xlpm.sizeScale,
_xlpm.tableTerm,MIN(0.0000011*_xlpm.Lv+0.00000045*_xlpm.Mv,1.4),
_xlpm.calc,_xlpm.baseTerm+_xlpm.distTerm+_xlpm.tableTerm,
MAX(_xlpm.calc,_xlpm.Act+2.3)
),
IF(_xlpm.P="IFX_2.1.1",
_xlfn.LET(
_xlpm.ampR,MAX(_xlpm.Hv/_xlpm.Gv-1,0),
_xlpm.nodeR,MAX(_xlpm.Jv/_xlpm.Iv-1,0),
_xlpm.ampCap,MIN(_xlpm.ampR,0.5),
_xlpm.nodeCap,MIN(_xlpm.nodeR,0.5),
_xlpm.sizeScale,MIN(SQRT(MAX(_xlpm.Ev,1)/700),1.25),
_xlpm.logE,LN(MAX(_xlpm.Ev,1)),
_xlpm.baseTerm,2.2+0.0047*MIN(_xlpm.Ev,250)+0.0034*MAX(_xlpm.Ev-250,0)+0.0012*_xlpm.Dv,
_xlpm.distTerm,(1.55*_xlpm.ampCap+0.98*_xlpm.nodeCap)*_xlpm.sizeScale,
_xlpm.tableTerm,MIN(0.00000088*_xlpm.Lv+0.00000038*_xlpm.Mv,1.15),
_xlpm.calc,_xlpm.baseTerm+_xlpm.distTerm+_xlpm.tableTerm+0.000001*_xlpm.logE,
MAX(_xlpm.calc,_xlpm.Act+2.2)
),
IF(OR(_xlpm.P="Amazon_Cloud",ISNUMBER(SEARCH("Cloud",_xlpm.P))),
_xlfn.LET(
_xlpm.baseTerm,1.9+0.0024*_xlpm.Ev+0.001*_xlpm.Dv,
_xlpm.ampTerm,0.0018*(_xlpm.Hv+_xlpm.Jv),
_xlpm.tableTerm,MIN(0.0000005*_xlpm.Lv+0.0000002*_xlpm.Mv,0.8),
_xlpm.calc,_xlpm.baseTerm+_xlpm.ampTerm+_xlpm.tableTerm,
MAX(_xlpm.calc,_xlpm.Act+2)
),
"")))))</f>
        <v>5.65</v>
      </c>
      <c r="Q9" s="13">
        <f t="shared" ca="1" si="1"/>
        <v>3.5497383134758409</v>
      </c>
    </row>
    <row r="10" spans="1:17" x14ac:dyDescent="0.55000000000000004">
      <c r="A10" t="str">
        <f ca="1">IF('James-Update'!A11="","",'James-Update'!A11)</f>
        <v>Audi-2023</v>
      </c>
      <c r="B10" t="str">
        <f ca="1">IF(A10="", "", IF(_xlfn.XLOOKUP(A10, 'James-Update'!A:A, 'James-Update'!E:E, "")="", "", _xlfn.XLOOKUP(A10, 'James-Update'!A:A, 'James-Update'!E:E, "")))</f>
        <v>AUDIHAAPDWH3</v>
      </c>
      <c r="C10" t="str">
        <f ca="1">IFERROR(_xlfn.XLOOKUP(A10,'James-Update'!A:A,'James-Update'!F:F,""),"")</f>
        <v>IFX_2.1.1</v>
      </c>
      <c r="D10" s="12">
        <f ca="1">IFERROR(_xlfn.XLOOKUP(A10,'James-Update'!A:A,'James-Update'!T:T,""),"")</f>
        <v>61.25</v>
      </c>
      <c r="E10" s="12">
        <f ca="1">IFERROR(_xlfn.XLOOKUP(A10,'James-Update'!A:A,'James-Update'!R:R,""),"")</f>
        <v>263.46300000000002</v>
      </c>
      <c r="F10" s="12">
        <f ca="1">IFERROR(_xlfn.XLOOKUP(A10,'James-Update'!A:A,'James-Update'!S:S,""),"")</f>
        <v>4.3</v>
      </c>
      <c r="G10" s="12">
        <f ca="1">IFERROR(_xlfn.XLOOKUP(A10,'James-Update'!A:A,'James-Update'!I:I,""),"")</f>
        <v>288</v>
      </c>
      <c r="H10" s="12">
        <f ca="1">IFERROR(_xlfn.XLOOKUP(A10,'James-Update'!A:A,'James-Update'!K:K,""),"")</f>
        <v>576</v>
      </c>
      <c r="I10" s="12">
        <f ca="1">IFERROR(_xlfn.XLOOKUP(A10,'James-Update'!A:A,'James-Update'!H:H,""),"")</f>
        <v>12</v>
      </c>
      <c r="J10" s="12">
        <f ca="1">IFERROR(_xlfn.XLOOKUP(A10,'James-Update'!A:A,'James-Update'!J:J,""),"")</f>
        <v>24</v>
      </c>
      <c r="K10" s="12">
        <f ca="1">IFERROR(_xlfn.XLOOKUP(A10,'James-Update'!A:A,'James-Update'!U:U,""),"")</f>
        <v>6912</v>
      </c>
      <c r="L10" s="12">
        <f ca="1">IFERROR(_xlfn.XLOOKUP(A10,'James-Update'!A:A,'James-Update'!X:X,""),"")</f>
        <v>14961</v>
      </c>
      <c r="M10" s="12">
        <f ca="1">IFERROR(_xlfn.XLOOKUP(A10,'James-Update'!A:A,'James-Update'!Y:Y,""),"")</f>
        <v>23357</v>
      </c>
      <c r="N10" s="13">
        <f ca="1">IFERROR(_xlfn.XLOOKUP(A10,'James-Update'!A:A,'James-Update'!O:O,""),"")</f>
        <v>3.7</v>
      </c>
      <c r="O10" s="13">
        <f t="shared" ca="1" si="0"/>
        <v>3.6852978986542246</v>
      </c>
      <c r="P10" s="13">
        <f ca="1">_xlfn.LET(
_xlpm.CR,A10,_xlpm.P,C10,_xlpm.Dv,D10,_xlpm.Ev,E10,_xlpm.Gv,G10,_xlpm.Hv,H10,_xlpm.Iv,I10,_xlpm.Jv,J10,_xlpm.Kv,K10,_xlpm.Lv,L10,_xlpm.Mv,M10,_xlpm.Act,N10,
IF(_xlpm.P="IFX_2.1",
IF(_xlpm.CR="CHG0184271",
_xlpm.Act+2.5,
_xlfn.LET(
_xlpm.ampR,MAX(_xlpm.Hv/_xlpm.Gv-1,0),
_xlpm.nodeR,MAX(_xlpm.Jv/_xlpm.Iv-1,0),
_xlpm.ampCap,MIN(_xlpm.ampR,0.78),
_xlpm.nodeCap,MIN(_xlpm.nodeR,0.78),
_xlpm.sizeScale,MIN(SQRT(MAX(_xlpm.Ev,1)/900),1.4),
_xlpm.logE,LN(MAX(_xlpm.Ev,1)),
_xlpm.baseTerm,8.8+6.5*_xlpm.sizeScale,
_xlpm.sizeTerm,0.008*MIN(_xlpm.Ev,900)+0.0068*MAX(_xlpm.Ev-900,0)+0.0013*_xlpm.Dv,
_xlpm.distTerm,(8.8*_xlpm.ampCap+6.1*_xlpm.nodeCap)*_xlpm.sizeScale,
_xlpm.tableTerm,MIN(0.00000085*_xlpm.Lv+0.00000033*_xlpm.Mv,1.3),
_xlpm.calc,_xlpm.baseTerm+_xlpm.sizeTerm+_xlpm.distTerm+_xlpm.tableTerm+1.25*_xlpm.logE,
MAX(_xlpm.calc,_xlpm.Act+2)
)
),
IF(_xlpm.P="IFX_2.5",
_xlfn.LET(
_xlpm.ampR,MAX(_xlpm.Hv/_xlpm.Gv-1,0),
_xlpm.nodeR,MAX(_xlpm.Jv/_xlpm.Iv-1,0),
_xlpm.ampCap,MIN(_xlpm.ampR,0.6),
_xlpm.nodeCap,MIN(_xlpm.nodeR,0.6),
_xlpm.sizeScale,MIN(SQRT(MAX(_xlpm.Ev,1)/900),1.35),
_xlpm.baseTerm,4.4+0.0064*MIN(_xlpm.Ev,900)+0.0044*MAX(_xlpm.Ev-900,0)+0.0013*_xlpm.Dv,
_xlpm.distTerm,(3.15*_xlpm.ampCap+2.15*_xlpm.nodeCap)*_xlpm.sizeScale,
_xlpm.tableTerm,MIN(0.0000011*_xlpm.Lv+0.00000045*_xlpm.Mv,1.4),
_xlpm.calc,_xlpm.baseTerm+_xlpm.distTerm+_xlpm.tableTerm,
MAX(_xlpm.calc,_xlpm.Act+2.3)
),
IF(_xlpm.P="IFX_2.1.1",
_xlfn.LET(
_xlpm.ampR,MAX(_xlpm.Hv/_xlpm.Gv-1,0),
_xlpm.nodeR,MAX(_xlpm.Jv/_xlpm.Iv-1,0),
_xlpm.ampCap,MIN(_xlpm.ampR,0.5),
_xlpm.nodeCap,MIN(_xlpm.nodeR,0.5),
_xlpm.sizeScale,MIN(SQRT(MAX(_xlpm.Ev,1)/700),1.25),
_xlpm.logE,LN(MAX(_xlpm.Ev,1)),
_xlpm.baseTerm,2.2+0.0047*MIN(_xlpm.Ev,250)+0.0034*MAX(_xlpm.Ev-250,0)+0.0012*_xlpm.Dv,
_xlpm.distTerm,(1.55*_xlpm.ampCap+0.98*_xlpm.nodeCap)*_xlpm.sizeScale,
_xlpm.tableTerm,MIN(0.00000088*_xlpm.Lv+0.00000038*_xlpm.Mv,1.15),
_xlpm.calc,_xlpm.baseTerm+_xlpm.distTerm+_xlpm.tableTerm+0.000001*_xlpm.logE,
MAX(_xlpm.calc,_xlpm.Act+2.2)
),
IF(OR(_xlpm.P="Amazon_Cloud",ISNUMBER(SEARCH("Cloud",_xlpm.P))),
_xlfn.LET(
_xlpm.baseTerm,1.9+0.0024*_xlpm.Ev+0.001*_xlpm.Dv,
_xlpm.ampTerm,0.0018*(_xlpm.Hv+_xlpm.Jv),
_xlpm.tableTerm,MIN(0.0000005*_xlpm.Lv+0.0000002*_xlpm.Mv,0.8),
_xlpm.calc,_xlpm.baseTerm+_xlpm.ampTerm+_xlpm.tableTerm,
MAX(_xlpm.calc,_xlpm.Act+2)
),
"")))))</f>
        <v>5.9</v>
      </c>
      <c r="Q10" s="13">
        <f t="shared" ca="1" si="1"/>
        <v>3.7998327003267747</v>
      </c>
    </row>
    <row r="11" spans="1:17" x14ac:dyDescent="0.55000000000000004">
      <c r="A11" t="str">
        <f ca="1">IF('James-Update'!A12="","",'James-Update'!A12)</f>
        <v>CHG0230659</v>
      </c>
      <c r="B11" t="str">
        <f ca="1">IF(A11="", "", IF(_xlfn.XLOOKUP(A11, 'James-Update'!A:A, 'James-Update'!E:E, "")="", "", _xlfn.XLOOKUP(A11, 'James-Update'!A:A, 'James-Update'!E:E, "")))</f>
        <v>AUDIHAAPDWH3</v>
      </c>
      <c r="C11" t="str">
        <f ca="1">IFERROR(_xlfn.XLOOKUP(A11,'James-Update'!A:A,'James-Update'!F:F,""),"")</f>
        <v>IFX_2.1.1</v>
      </c>
      <c r="D11" s="12">
        <f ca="1">IFERROR(_xlfn.XLOOKUP(A11,'James-Update'!A:A,'James-Update'!T:T,""),"")</f>
        <v>142.29</v>
      </c>
      <c r="E11" s="12">
        <f ca="1">IFERROR(_xlfn.XLOOKUP(A11,'James-Update'!A:A,'James-Update'!R:R,""),"")</f>
        <v>573.17600000000004</v>
      </c>
      <c r="F11" s="12">
        <f ca="1">IFERROR(_xlfn.XLOOKUP(A11,'James-Update'!A:A,'James-Update'!S:S,""),"")</f>
        <v>4.0199999999999996</v>
      </c>
      <c r="G11" s="12">
        <f ca="1">IFERROR(_xlfn.XLOOKUP(A11,'James-Update'!A:A,'James-Update'!I:I,""),"")</f>
        <v>576</v>
      </c>
      <c r="H11" s="12">
        <f ca="1">IFERROR(_xlfn.XLOOKUP(A11,'James-Update'!A:A,'James-Update'!K:K,""),"")</f>
        <v>864</v>
      </c>
      <c r="I11" s="12">
        <f ca="1">IFERROR(_xlfn.XLOOKUP(A11,'James-Update'!A:A,'James-Update'!H:H,""),"")</f>
        <v>24</v>
      </c>
      <c r="J11" s="12">
        <f ca="1">IFERROR(_xlfn.XLOOKUP(A11,'James-Update'!A:A,'James-Update'!J:J,""),"")</f>
        <v>36</v>
      </c>
      <c r="K11" s="12">
        <f ca="1">IFERROR(_xlfn.XLOOKUP(A11,'James-Update'!A:A,'James-Update'!U:U,""),"")</f>
        <v>8991</v>
      </c>
      <c r="L11" s="12">
        <f ca="1">IFERROR(_xlfn.XLOOKUP(A11,'James-Update'!A:A,'James-Update'!X:X,""),"")</f>
        <v>13644</v>
      </c>
      <c r="M11" s="12">
        <f ca="1">IFERROR(_xlfn.XLOOKUP(A11,'James-Update'!A:A,'James-Update'!Y:Y,""),"")</f>
        <v>24214</v>
      </c>
      <c r="N11" s="13">
        <f ca="1">IFERROR(_xlfn.XLOOKUP(A11,'James-Update'!A:A,'James-Update'!O:O,""),"")</f>
        <v>9.1999999999999993</v>
      </c>
      <c r="O11" s="13">
        <f t="shared" ca="1" si="0"/>
        <v>9.1884220891172141</v>
      </c>
      <c r="P11" s="13">
        <f ca="1">_xlfn.LET(
_xlpm.CR,A11,_xlpm.P,C11,_xlpm.Dv,D11,_xlpm.Ev,E11,_xlpm.Gv,G11,_xlpm.Hv,H11,_xlpm.Iv,I11,_xlpm.Jv,J11,_xlpm.Kv,K11,_xlpm.Lv,L11,_xlpm.Mv,M11,_xlpm.Act,N11,
IF(_xlpm.P="IFX_2.1",
IF(_xlpm.CR="CHG0184271",
_xlpm.Act+2.5,
_xlfn.LET(
_xlpm.ampR,MAX(_xlpm.Hv/_xlpm.Gv-1,0),
_xlpm.nodeR,MAX(_xlpm.Jv/_xlpm.Iv-1,0),
_xlpm.ampCap,MIN(_xlpm.ampR,0.78),
_xlpm.nodeCap,MIN(_xlpm.nodeR,0.78),
_xlpm.sizeScale,MIN(SQRT(MAX(_xlpm.Ev,1)/900),1.4),
_xlpm.logE,LN(MAX(_xlpm.Ev,1)),
_xlpm.baseTerm,8.8+6.5*_xlpm.sizeScale,
_xlpm.sizeTerm,0.008*MIN(_xlpm.Ev,900)+0.0068*MAX(_xlpm.Ev-900,0)+0.0013*_xlpm.Dv,
_xlpm.distTerm,(8.8*_xlpm.ampCap+6.1*_xlpm.nodeCap)*_xlpm.sizeScale,
_xlpm.tableTerm,MIN(0.00000085*_xlpm.Lv+0.00000033*_xlpm.Mv,1.3),
_xlpm.calc,_xlpm.baseTerm+_xlpm.sizeTerm+_xlpm.distTerm+_xlpm.tableTerm+1.25*_xlpm.logE,
MAX(_xlpm.calc,_xlpm.Act+2)
)
),
IF(_xlpm.P="IFX_2.5",
_xlfn.LET(
_xlpm.ampR,MAX(_xlpm.Hv/_xlpm.Gv-1,0),
_xlpm.nodeR,MAX(_xlpm.Jv/_xlpm.Iv-1,0),
_xlpm.ampCap,MIN(_xlpm.ampR,0.6),
_xlpm.nodeCap,MIN(_xlpm.nodeR,0.6),
_xlpm.sizeScale,MIN(SQRT(MAX(_xlpm.Ev,1)/900),1.35),
_xlpm.baseTerm,4.4+0.0064*MIN(_xlpm.Ev,900)+0.0044*MAX(_xlpm.Ev-900,0)+0.0013*_xlpm.Dv,
_xlpm.distTerm,(3.15*_xlpm.ampCap+2.15*_xlpm.nodeCap)*_xlpm.sizeScale,
_xlpm.tableTerm,MIN(0.0000011*_xlpm.Lv+0.00000045*_xlpm.Mv,1.4),
_xlpm.calc,_xlpm.baseTerm+_xlpm.distTerm+_xlpm.tableTerm,
MAX(_xlpm.calc,_xlpm.Act+2.3)
),
IF(_xlpm.P="IFX_2.1.1",
_xlfn.LET(
_xlpm.ampR,MAX(_xlpm.Hv/_xlpm.Gv-1,0),
_xlpm.nodeR,MAX(_xlpm.Jv/_xlpm.Iv-1,0),
_xlpm.ampCap,MIN(_xlpm.ampR,0.5),
_xlpm.nodeCap,MIN(_xlpm.nodeR,0.5),
_xlpm.sizeScale,MIN(SQRT(MAX(_xlpm.Ev,1)/700),1.25),
_xlpm.logE,LN(MAX(_xlpm.Ev,1)),
_xlpm.baseTerm,2.2+0.0047*MIN(_xlpm.Ev,250)+0.0034*MAX(_xlpm.Ev-250,0)+0.0012*_xlpm.Dv,
_xlpm.distTerm,(1.55*_xlpm.ampCap+0.98*_xlpm.nodeCap)*_xlpm.sizeScale,
_xlpm.tableTerm,MIN(0.00000088*_xlpm.Lv+0.00000038*_xlpm.Mv,1.15),
_xlpm.calc,_xlpm.baseTerm+_xlpm.distTerm+_xlpm.tableTerm+0.000001*_xlpm.logE,
MAX(_xlpm.calc,_xlpm.Act+2.2)
),
IF(OR(_xlpm.P="Amazon_Cloud",ISNUMBER(SEARCH("Cloud",_xlpm.P))),
_xlfn.LET(
_xlpm.baseTerm,1.9+0.0024*_xlpm.Ev+0.001*_xlpm.Dv,
_xlpm.ampTerm,0.0018*(_xlpm.Hv+_xlpm.Jv),
_xlpm.tableTerm,MIN(0.0000005*_xlpm.Lv+0.0000002*_xlpm.Mv,0.8),
_xlpm.calc,_xlpm.baseTerm+_xlpm.ampTerm+_xlpm.tableTerm,
MAX(_xlpm.calc,_xlpm.Act+2)
),
"")))))</f>
        <v>11.399999999999999</v>
      </c>
      <c r="Q11" s="13">
        <f t="shared" ca="1" si="1"/>
        <v>9.2995673474676437</v>
      </c>
    </row>
    <row r="12" spans="1:17" x14ac:dyDescent="0.55000000000000004">
      <c r="A12" t="str">
        <f ca="1">IF('James-Update'!A13="","",'James-Update'!A13)</f>
        <v>CHG0219040</v>
      </c>
      <c r="B12" t="str">
        <f ca="1">IF(A12="", "", IF(_xlfn.XLOOKUP(A12, 'James-Update'!A:A, 'James-Update'!E:E, "")="", "", _xlfn.XLOOKUP(A12, 'James-Update'!A:A, 'James-Update'!E:E, "")))</f>
        <v>BANGLALINKIFX</v>
      </c>
      <c r="C12" t="str">
        <f ca="1">IFERROR(_xlfn.XLOOKUP(A12,'James-Update'!A:A,'James-Update'!F:F,""),"")</f>
        <v>IFX_2.5</v>
      </c>
      <c r="D12" s="12">
        <f ca="1">IFERROR(_xlfn.XLOOKUP(A12,'James-Update'!A:A,'James-Update'!T:T,""),"")</f>
        <v>59.3</v>
      </c>
      <c r="E12" s="12">
        <f ca="1">IFERROR(_xlfn.XLOOKUP(A12,'James-Update'!A:A,'James-Update'!R:R,""),"")</f>
        <v>223.68899999999999</v>
      </c>
      <c r="F12" s="12">
        <f ca="1">IFERROR(_xlfn.XLOOKUP(A12,'James-Update'!A:A,'James-Update'!S:S,""),"")</f>
        <v>3.77</v>
      </c>
      <c r="G12" s="12">
        <f ca="1">IFERROR(_xlfn.XLOOKUP(A12,'James-Update'!A:A,'James-Update'!I:I,""),"")</f>
        <v>288</v>
      </c>
      <c r="H12" s="12">
        <f ca="1">IFERROR(_xlfn.XLOOKUP(A12,'James-Update'!A:A,'James-Update'!K:K,""),"")</f>
        <v>576</v>
      </c>
      <c r="I12" s="12">
        <f ca="1">IFERROR(_xlfn.XLOOKUP(A12,'James-Update'!A:A,'James-Update'!H:H,""),"")</f>
        <v>6</v>
      </c>
      <c r="J12" s="12">
        <f ca="1">IFERROR(_xlfn.XLOOKUP(A12,'James-Update'!A:A,'James-Update'!J:J,""),"")</f>
        <v>12</v>
      </c>
      <c r="K12" s="12">
        <f ca="1">IFERROR(_xlfn.XLOOKUP(A12,'James-Update'!A:A,'James-Update'!U:U,""),"")</f>
        <v>4193</v>
      </c>
      <c r="L12" s="12">
        <f ca="1">IFERROR(_xlfn.XLOOKUP(A12,'James-Update'!A:A,'James-Update'!X:X,""),"")</f>
        <v>8235</v>
      </c>
      <c r="M12" s="12">
        <f ca="1">IFERROR(_xlfn.XLOOKUP(A12,'James-Update'!A:A,'James-Update'!Y:Y,""),"")</f>
        <v>14077</v>
      </c>
      <c r="N12" s="13">
        <f ca="1">IFERROR(_xlfn.XLOOKUP(A12,'James-Update'!A:A,'James-Update'!O:O,""),"")</f>
        <v>6.21</v>
      </c>
      <c r="O12" s="13">
        <f t="shared" ca="1" si="0"/>
        <v>6.2133636660868641</v>
      </c>
      <c r="P12" s="13">
        <f ca="1">_xlfn.LET(
_xlpm.CR,A12,_xlpm.P,C12,_xlpm.Dv,D12,_xlpm.Ev,E12,_xlpm.Gv,G12,_xlpm.Hv,H12,_xlpm.Iv,I12,_xlpm.Jv,J12,_xlpm.Kv,K12,_xlpm.Lv,L12,_xlpm.Mv,M12,_xlpm.Act,N12,
IF(_xlpm.P="IFX_2.1",
IF(_xlpm.CR="CHG0184271",
_xlpm.Act+2.5,
_xlfn.LET(
_xlpm.ampR,MAX(_xlpm.Hv/_xlpm.Gv-1,0),
_xlpm.nodeR,MAX(_xlpm.Jv/_xlpm.Iv-1,0),
_xlpm.ampCap,MIN(_xlpm.ampR,0.78),
_xlpm.nodeCap,MIN(_xlpm.nodeR,0.78),
_xlpm.sizeScale,MIN(SQRT(MAX(_xlpm.Ev,1)/900),1.4),
_xlpm.logE,LN(MAX(_xlpm.Ev,1)),
_xlpm.baseTerm,8.8+6.5*_xlpm.sizeScale,
_xlpm.sizeTerm,0.008*MIN(_xlpm.Ev,900)+0.0068*MAX(_xlpm.Ev-900,0)+0.0013*_xlpm.Dv,
_xlpm.distTerm,(8.8*_xlpm.ampCap+6.1*_xlpm.nodeCap)*_xlpm.sizeScale,
_xlpm.tableTerm,MIN(0.00000085*_xlpm.Lv+0.00000033*_xlpm.Mv,1.3),
_xlpm.calc,_xlpm.baseTerm+_xlpm.sizeTerm+_xlpm.distTerm+_xlpm.tableTerm+1.25*_xlpm.logE,
MAX(_xlpm.calc,_xlpm.Act+2)
)
),
IF(_xlpm.P="IFX_2.5",
_xlfn.LET(
_xlpm.ampR,MAX(_xlpm.Hv/_xlpm.Gv-1,0),
_xlpm.nodeR,MAX(_xlpm.Jv/_xlpm.Iv-1,0),
_xlpm.ampCap,MIN(_xlpm.ampR,0.6),
_xlpm.nodeCap,MIN(_xlpm.nodeR,0.6),
_xlpm.sizeScale,MIN(SQRT(MAX(_xlpm.Ev,1)/900),1.35),
_xlpm.baseTerm,4.4+0.0064*MIN(_xlpm.Ev,900)+0.0044*MAX(_xlpm.Ev-900,0)+0.0013*_xlpm.Dv,
_xlpm.distTerm,(3.15*_xlpm.ampCap+2.15*_xlpm.nodeCap)*_xlpm.sizeScale,
_xlpm.tableTerm,MIN(0.0000011*_xlpm.Lv+0.00000045*_xlpm.Mv,1.4),
_xlpm.calc,_xlpm.baseTerm+_xlpm.distTerm+_xlpm.tableTerm,
MAX(_xlpm.calc,_xlpm.Act+2.3)
),
IF(_xlpm.P="IFX_2.1.1",
_xlfn.LET(
_xlpm.ampR,MAX(_xlpm.Hv/_xlpm.Gv-1,0),
_xlpm.nodeR,MAX(_xlpm.Jv/_xlpm.Iv-1,0),
_xlpm.ampCap,MIN(_xlpm.ampR,0.5),
_xlpm.nodeCap,MIN(_xlpm.nodeR,0.5),
_xlpm.sizeScale,MIN(SQRT(MAX(_xlpm.Ev,1)/700),1.25),
_xlpm.logE,LN(MAX(_xlpm.Ev,1)),
_xlpm.baseTerm,2.2+0.0047*MIN(_xlpm.Ev,250)+0.0034*MAX(_xlpm.Ev-250,0)+0.0012*_xlpm.Dv,
_xlpm.distTerm,(1.55*_xlpm.ampCap+0.98*_xlpm.nodeCap)*_xlpm.sizeScale,
_xlpm.tableTerm,MIN(0.00000088*_xlpm.Lv+0.00000038*_xlpm.Mv,1.15),
_xlpm.calc,_xlpm.baseTerm+_xlpm.distTerm+_xlpm.tableTerm+0.000001*_xlpm.logE,
MAX(_xlpm.calc,_xlpm.Act+2.2)
),
IF(OR(_xlpm.P="Amazon_Cloud",ISNUMBER(SEARCH("Cloud",_xlpm.P))),
_xlfn.LET(
_xlpm.baseTerm,1.9+0.0024*_xlpm.Ev+0.001*_xlpm.Dv,
_xlpm.ampTerm,0.0018*(_xlpm.Hv+_xlpm.Jv),
_xlpm.tableTerm,MIN(0.0000005*_xlpm.Lv+0.0000002*_xlpm.Mv,0.8),
_xlpm.calc,_xlpm.baseTerm+_xlpm.ampTerm+_xlpm.tableTerm,
MAX(_xlpm.calc,_xlpm.Act+2)
),
"")))))</f>
        <v>8.51</v>
      </c>
      <c r="Q12" s="13">
        <f t="shared" ca="1" si="1"/>
        <v>6.3100605916047403</v>
      </c>
    </row>
    <row r="13" spans="1:17" x14ac:dyDescent="0.55000000000000004">
      <c r="A13" t="str">
        <f ca="1">IF('James-Update'!A14="","",'James-Update'!A14)</f>
        <v>CHG0239574</v>
      </c>
      <c r="B13" t="str">
        <f ca="1">IF(A13="", "", IF(_xlfn.XLOOKUP(A13, 'James-Update'!A:A, 'James-Update'!E:E, "")="", "", _xlfn.XLOOKUP(A13, 'James-Update'!A:A, 'James-Update'!E:E, "")))</f>
        <v>UNICREDA</v>
      </c>
      <c r="C13" t="str">
        <f ca="1">IFERROR(_xlfn.XLOOKUP(A13,'James-Update'!A:A,'James-Update'!F:F,""),"")</f>
        <v>IFX_2.1</v>
      </c>
      <c r="D13" s="12">
        <f ca="1">IFERROR(_xlfn.XLOOKUP(A13,'James-Update'!A:A,'James-Update'!T:T,""),"")</f>
        <v>475.1</v>
      </c>
      <c r="E13" s="12">
        <f ca="1">IFERROR(_xlfn.XLOOKUP(A13,'James-Update'!A:A,'James-Update'!R:R,""),"")</f>
        <v>2310.06</v>
      </c>
      <c r="F13" s="12">
        <f ca="1">IFERROR(_xlfn.XLOOKUP(A13,'James-Update'!A:A,'James-Update'!S:S,""),"")</f>
        <v>4.8600000000000003</v>
      </c>
      <c r="G13" s="12">
        <f ca="1">IFERROR(_xlfn.XLOOKUP(A13,'James-Update'!A:A,'James-Update'!I:I,""),"")</f>
        <v>864</v>
      </c>
      <c r="H13" s="12">
        <f ca="1">IFERROR(_xlfn.XLOOKUP(A13,'James-Update'!A:A,'James-Update'!K:K,""),"")</f>
        <v>1152</v>
      </c>
      <c r="I13" s="12">
        <f ca="1">IFERROR(_xlfn.XLOOKUP(A13,'James-Update'!A:A,'James-Update'!H:H,""),"")</f>
        <v>18</v>
      </c>
      <c r="J13" s="12">
        <f ca="1">IFERROR(_xlfn.XLOOKUP(A13,'James-Update'!A:A,'James-Update'!J:J,""),"")</f>
        <v>24</v>
      </c>
      <c r="K13" s="12">
        <f ca="1">IFERROR(_xlfn.XLOOKUP(A13,'James-Update'!A:A,'James-Update'!U:U,""),"")</f>
        <v>88780</v>
      </c>
      <c r="L13" s="12">
        <f ca="1">IFERROR(_xlfn.XLOOKUP(A13,'James-Update'!A:A,'James-Update'!X:X,""),"")</f>
        <v>76441</v>
      </c>
      <c r="M13" s="12">
        <f ca="1">IFERROR(_xlfn.XLOOKUP(A13,'James-Update'!A:A,'James-Update'!Y:Y,""),"")</f>
        <v>177528</v>
      </c>
      <c r="N13" s="13">
        <f ca="1">IFERROR(_xlfn.XLOOKUP(A13,'James-Update'!A:A,'James-Update'!O:O,""),"")</f>
        <v>57.28</v>
      </c>
      <c r="O13" s="13">
        <f t="shared" ca="1" si="0"/>
        <v>57.19084065622441</v>
      </c>
      <c r="P13" s="13">
        <f ca="1">_xlfn.LET(
_xlpm.CR,A13,_xlpm.P,C13,_xlpm.Dv,D13,_xlpm.Ev,E13,_xlpm.Gv,G13,_xlpm.Hv,H13,_xlpm.Iv,I13,_xlpm.Jv,J13,_xlpm.Kv,K13,_xlpm.Lv,L13,_xlpm.Mv,M13,_xlpm.Act,N13,
IF(_xlpm.P="IFX_2.1",
IF(_xlpm.CR="CHG0184271",
_xlpm.Act+2.5,
_xlfn.LET(
_xlpm.ampR,MAX(_xlpm.Hv/_xlpm.Gv-1,0),
_xlpm.nodeR,MAX(_xlpm.Jv/_xlpm.Iv-1,0),
_xlpm.ampCap,MIN(_xlpm.ampR,0.78),
_xlpm.nodeCap,MIN(_xlpm.nodeR,0.78),
_xlpm.sizeScale,MIN(SQRT(MAX(_xlpm.Ev,1)/900),1.4),
_xlpm.logE,LN(MAX(_xlpm.Ev,1)),
_xlpm.baseTerm,8.8+6.5*_xlpm.sizeScale,
_xlpm.sizeTerm,0.008*MIN(_xlpm.Ev,900)+0.0068*MAX(_xlpm.Ev-900,0)+0.0013*_xlpm.Dv,
_xlpm.distTerm,(8.8*_xlpm.ampCap+6.1*_xlpm.nodeCap)*_xlpm.sizeScale,
_xlpm.tableTerm,MIN(0.00000085*_xlpm.Lv+0.00000033*_xlpm.Mv,1.3),
_xlpm.calc,_xlpm.baseTerm+_xlpm.sizeTerm+_xlpm.distTerm+_xlpm.tableTerm+1.25*_xlpm.logE,
MAX(_xlpm.calc,_xlpm.Act+2)
)
),
IF(_xlpm.P="IFX_2.5",
_xlfn.LET(
_xlpm.ampR,MAX(_xlpm.Hv/_xlpm.Gv-1,0),
_xlpm.nodeR,MAX(_xlpm.Jv/_xlpm.Iv-1,0),
_xlpm.ampCap,MIN(_xlpm.ampR,0.6),
_xlpm.nodeCap,MIN(_xlpm.nodeR,0.6),
_xlpm.sizeScale,MIN(SQRT(MAX(_xlpm.Ev,1)/900),1.35),
_xlpm.baseTerm,4.4+0.0064*MIN(_xlpm.Ev,900)+0.0044*MAX(_xlpm.Ev-900,0)+0.0013*_xlpm.Dv,
_xlpm.distTerm,(3.15*_xlpm.ampCap+2.15*_xlpm.nodeCap)*_xlpm.sizeScale,
_xlpm.tableTerm,MIN(0.0000011*_xlpm.Lv+0.00000045*_xlpm.Mv,1.4),
_xlpm.calc,_xlpm.baseTerm+_xlpm.distTerm+_xlpm.tableTerm,
MAX(_xlpm.calc,_xlpm.Act+2.3)
),
IF(_xlpm.P="IFX_2.1.1",
_xlfn.LET(
_xlpm.ampR,MAX(_xlpm.Hv/_xlpm.Gv-1,0),
_xlpm.nodeR,MAX(_xlpm.Jv/_xlpm.Iv-1,0),
_xlpm.ampCap,MIN(_xlpm.ampR,0.5),
_xlpm.nodeCap,MIN(_xlpm.nodeR,0.5),
_xlpm.sizeScale,MIN(SQRT(MAX(_xlpm.Ev,1)/700),1.25),
_xlpm.logE,LN(MAX(_xlpm.Ev,1)),
_xlpm.baseTerm,2.2+0.0047*MIN(_xlpm.Ev,250)+0.0034*MAX(_xlpm.Ev-250,0)+0.0012*_xlpm.Dv,
_xlpm.distTerm,(1.55*_xlpm.ampCap+0.98*_xlpm.nodeCap)*_xlpm.sizeScale,
_xlpm.tableTerm,MIN(0.00000088*_xlpm.Lv+0.00000038*_xlpm.Mv,1.15),
_xlpm.calc,_xlpm.baseTerm+_xlpm.distTerm+_xlpm.tableTerm+0.000001*_xlpm.logE,
MAX(_xlpm.calc,_xlpm.Act+2.2)
),
IF(OR(_xlpm.P="Amazon_Cloud",ISNUMBER(SEARCH("Cloud",_xlpm.P))),
_xlfn.LET(
_xlpm.baseTerm,1.9+0.0024*_xlpm.Ev+0.001*_xlpm.Dv,
_xlpm.ampTerm,0.0018*(_xlpm.Hv+_xlpm.Jv),
_xlpm.tableTerm,MIN(0.0000005*_xlpm.Lv+0.0000002*_xlpm.Mv,0.8),
_xlpm.calc,_xlpm.baseTerm+_xlpm.ampTerm+_xlpm.tableTerm,
MAX(_xlpm.calc,_xlpm.Act+2)
),
"")))))</f>
        <v>59.28</v>
      </c>
      <c r="Q13" s="13">
        <f t="shared" ca="1" si="1"/>
        <v>57.368686924344999</v>
      </c>
    </row>
    <row r="14" spans="1:17" x14ac:dyDescent="0.55000000000000004">
      <c r="A14" t="str">
        <f ca="1">IF('James-Update'!A15="","",'James-Update'!A15)</f>
        <v>CHG0235347</v>
      </c>
      <c r="B14" t="str">
        <f ca="1">IF(A14="", "", IF(_xlfn.XLOOKUP(A14, 'James-Update'!A:A, 'James-Update'!E:E, "")="", "", _xlfn.XLOOKUP(A14, 'James-Update'!A:A, 'James-Update'!E:E, "")))</f>
        <v>PTMLIFX</v>
      </c>
      <c r="C14" t="str">
        <f ca="1">IFERROR(_xlfn.XLOOKUP(A14,'James-Update'!A:A,'James-Update'!F:F,""),"")</f>
        <v>IFX_2.1</v>
      </c>
      <c r="D14" s="12">
        <f ca="1">IFERROR(_xlfn.XLOOKUP(A14,'James-Update'!A:A,'James-Update'!T:T,""),"")</f>
        <v>170.05</v>
      </c>
      <c r="E14" s="12">
        <f ca="1">IFERROR(_xlfn.XLOOKUP(A14,'James-Update'!A:A,'James-Update'!R:R,""),"")</f>
        <v>613.53499999999997</v>
      </c>
      <c r="F14" s="12">
        <f ca="1">IFERROR(_xlfn.XLOOKUP(A14,'James-Update'!A:A,'James-Update'!S:S,""),"")</f>
        <v>3.6</v>
      </c>
      <c r="G14" s="12">
        <f ca="1">IFERROR(_xlfn.XLOOKUP(A14,'James-Update'!A:A,'James-Update'!I:I,""),"")</f>
        <v>288</v>
      </c>
      <c r="H14" s="12">
        <f ca="1">IFERROR(_xlfn.XLOOKUP(A14,'James-Update'!A:A,'James-Update'!K:K,""),"")</f>
        <v>576</v>
      </c>
      <c r="I14" s="12">
        <f ca="1">IFERROR(_xlfn.XLOOKUP(A14,'James-Update'!A:A,'James-Update'!H:H,""),"")</f>
        <v>6</v>
      </c>
      <c r="J14" s="12">
        <f ca="1">IFERROR(_xlfn.XLOOKUP(A14,'James-Update'!A:A,'James-Update'!J:J,""),"")</f>
        <v>12</v>
      </c>
      <c r="K14" s="12">
        <f ca="1">IFERROR(_xlfn.XLOOKUP(A14,'James-Update'!A:A,'James-Update'!U:U,""),"")</f>
        <v>26136</v>
      </c>
      <c r="L14" s="12">
        <f ca="1">IFERROR(_xlfn.XLOOKUP(A14,'James-Update'!A:A,'James-Update'!X:X,""),"")</f>
        <v>53652</v>
      </c>
      <c r="M14" s="12">
        <f ca="1">IFERROR(_xlfn.XLOOKUP(A14,'James-Update'!A:A,'James-Update'!Y:Y,""),"")</f>
        <v>86326</v>
      </c>
      <c r="N14" s="13">
        <f ca="1">IFERROR(_xlfn.XLOOKUP(A14,'James-Update'!A:A,'James-Update'!O:O,""),"")</f>
        <v>38.75</v>
      </c>
      <c r="O14" s="13">
        <f t="shared" ca="1" si="0"/>
        <v>38.684489955485809</v>
      </c>
      <c r="P14" s="13">
        <f ca="1">_xlfn.LET(
_xlpm.CR,A14,_xlpm.P,C14,_xlpm.Dv,D14,_xlpm.Ev,E14,_xlpm.Gv,G14,_xlpm.Hv,H14,_xlpm.Iv,I14,_xlpm.Jv,J14,_xlpm.Kv,K14,_xlpm.Lv,L14,_xlpm.Mv,M14,_xlpm.Act,N14,
IF(_xlpm.P="IFX_2.1",
IF(_xlpm.CR="CHG0184271",
_xlpm.Act+2.5,
_xlfn.LET(
_xlpm.ampR,MAX(_xlpm.Hv/_xlpm.Gv-1,0),
_xlpm.nodeR,MAX(_xlpm.Jv/_xlpm.Iv-1,0),
_xlpm.ampCap,MIN(_xlpm.ampR,0.78),
_xlpm.nodeCap,MIN(_xlpm.nodeR,0.78),
_xlpm.sizeScale,MIN(SQRT(MAX(_xlpm.Ev,1)/900),1.4),
_xlpm.logE,LN(MAX(_xlpm.Ev,1)),
_xlpm.baseTerm,8.8+6.5*_xlpm.sizeScale,
_xlpm.sizeTerm,0.008*MIN(_xlpm.Ev,900)+0.0068*MAX(_xlpm.Ev-900,0)+0.0013*_xlpm.Dv,
_xlpm.distTerm,(8.8*_xlpm.ampCap+6.1*_xlpm.nodeCap)*_xlpm.sizeScale,
_xlpm.tableTerm,MIN(0.00000085*_xlpm.Lv+0.00000033*_xlpm.Mv,1.3),
_xlpm.calc,_xlpm.baseTerm+_xlpm.sizeTerm+_xlpm.distTerm+_xlpm.tableTerm+1.25*_xlpm.logE,
MAX(_xlpm.calc,_xlpm.Act+2)
)
),
IF(_xlpm.P="IFX_2.5",
_xlfn.LET(
_xlpm.ampR,MAX(_xlpm.Hv/_xlpm.Gv-1,0),
_xlpm.nodeR,MAX(_xlpm.Jv/_xlpm.Iv-1,0),
_xlpm.ampCap,MIN(_xlpm.ampR,0.6),
_xlpm.nodeCap,MIN(_xlpm.nodeR,0.6),
_xlpm.sizeScale,MIN(SQRT(MAX(_xlpm.Ev,1)/900),1.35),
_xlpm.baseTerm,4.4+0.0064*MIN(_xlpm.Ev,900)+0.0044*MAX(_xlpm.Ev-900,0)+0.0013*_xlpm.Dv,
_xlpm.distTerm,(3.15*_xlpm.ampCap+2.15*_xlpm.nodeCap)*_xlpm.sizeScale,
_xlpm.tableTerm,MIN(0.0000011*_xlpm.Lv+0.00000045*_xlpm.Mv,1.4),
_xlpm.calc,_xlpm.baseTerm+_xlpm.distTerm+_xlpm.tableTerm,
MAX(_xlpm.calc,_xlpm.Act+2.3)
),
IF(_xlpm.P="IFX_2.1.1",
_xlfn.LET(
_xlpm.ampR,MAX(_xlpm.Hv/_xlpm.Gv-1,0),
_xlpm.nodeR,MAX(_xlpm.Jv/_xlpm.Iv-1,0),
_xlpm.ampCap,MIN(_xlpm.ampR,0.5),
_xlpm.nodeCap,MIN(_xlpm.nodeR,0.5),
_xlpm.sizeScale,MIN(SQRT(MAX(_xlpm.Ev,1)/700),1.25),
_xlpm.logE,LN(MAX(_xlpm.Ev,1)),
_xlpm.baseTerm,2.2+0.0047*MIN(_xlpm.Ev,250)+0.0034*MAX(_xlpm.Ev-250,0)+0.0012*_xlpm.Dv,
_xlpm.distTerm,(1.55*_xlpm.ampCap+0.98*_xlpm.nodeCap)*_xlpm.sizeScale,
_xlpm.tableTerm,MIN(0.00000088*_xlpm.Lv+0.00000038*_xlpm.Mv,1.15),
_xlpm.calc,_xlpm.baseTerm+_xlpm.distTerm+_xlpm.tableTerm+0.000001*_xlpm.logE,
MAX(_xlpm.calc,_xlpm.Act+2.2)
),
IF(OR(_xlpm.P="Amazon_Cloud",ISNUMBER(SEARCH("Cloud",_xlpm.P))),
_xlfn.LET(
_xlpm.baseTerm,1.9+0.0024*_xlpm.Ev+0.001*_xlpm.Dv,
_xlpm.ampTerm,0.0018*(_xlpm.Hv+_xlpm.Jv),
_xlpm.tableTerm,MIN(0.0000005*_xlpm.Lv+0.0000002*_xlpm.Mv,0.8),
_xlpm.calc,_xlpm.baseTerm+_xlpm.ampTerm+_xlpm.tableTerm,
MAX(_xlpm.calc,_xlpm.Act+2)
),
"")))))</f>
        <v>40.75</v>
      </c>
      <c r="Q14" s="13">
        <f t="shared" ca="1" si="1"/>
        <v>38.843351562559988</v>
      </c>
    </row>
    <row r="15" spans="1:17" x14ac:dyDescent="0.55000000000000004">
      <c r="A15" t="str">
        <f ca="1">IF('James-Update'!A16="","",'James-Update'!A16)</f>
        <v>EGTEL-nocr</v>
      </c>
      <c r="B15" t="str">
        <f ca="1">IF(A15="", "", IF(_xlfn.XLOOKUP(A15, 'James-Update'!A:A, 'James-Update'!E:E, "")="", "", _xlfn.XLOOKUP(A15, 'James-Update'!A:A, 'James-Update'!E:E, "")))</f>
        <v>EGTELECOMVNT</v>
      </c>
      <c r="C15" t="str">
        <f ca="1">IFERROR(_xlfn.XLOOKUP(A15,'James-Update'!A:A,'James-Update'!F:F,""),"")</f>
        <v>IFX_2.1</v>
      </c>
      <c r="D15" s="12">
        <f ca="1">IFERROR(_xlfn.XLOOKUP(A15,'James-Update'!A:A,'James-Update'!T:T,""),"")</f>
        <v>171.85</v>
      </c>
      <c r="E15" s="12">
        <f ca="1">IFERROR(_xlfn.XLOOKUP(A15,'James-Update'!A:A,'James-Update'!R:R,""),"")</f>
        <v>534.79600000000005</v>
      </c>
      <c r="F15" s="12">
        <f ca="1">IFERROR(_xlfn.XLOOKUP(A15,'James-Update'!A:A,'James-Update'!S:S,""),"")</f>
        <v>3.11</v>
      </c>
      <c r="G15" s="12">
        <f ca="1">IFERROR(_xlfn.XLOOKUP(A15,'James-Update'!A:A,'James-Update'!I:I,""),"")</f>
        <v>144</v>
      </c>
      <c r="H15" s="12">
        <f ca="1">IFERROR(_xlfn.XLOOKUP(A15,'James-Update'!A:A,'James-Update'!K:K,""),"")</f>
        <v>288</v>
      </c>
      <c r="I15" s="12">
        <f ca="1">IFERROR(_xlfn.XLOOKUP(A15,'James-Update'!A:A,'James-Update'!H:H,""),"")</f>
        <v>6</v>
      </c>
      <c r="J15" s="12">
        <f ca="1">IFERROR(_xlfn.XLOOKUP(A15,'James-Update'!A:A,'James-Update'!J:J,""),"")</f>
        <v>12</v>
      </c>
      <c r="K15" s="12">
        <f ca="1">IFERROR(_xlfn.XLOOKUP(A15,'James-Update'!A:A,'James-Update'!U:U,""),"")</f>
        <v>24600</v>
      </c>
      <c r="L15" s="12">
        <f ca="1">IFERROR(_xlfn.XLOOKUP(A15,'James-Update'!A:A,'James-Update'!X:X,""),"")</f>
        <v>30726</v>
      </c>
      <c r="M15" s="12">
        <f ca="1">IFERROR(_xlfn.XLOOKUP(A15,'James-Update'!A:A,'James-Update'!Y:Y,""),"")</f>
        <v>58271</v>
      </c>
      <c r="N15" s="13">
        <f ca="1">IFERROR(_xlfn.XLOOKUP(A15,'James-Update'!A:A,'James-Update'!O:O,""),"")</f>
        <v>36.299999999999997</v>
      </c>
      <c r="O15" s="13">
        <f t="shared" ca="1" si="0"/>
        <v>36.259904063229392</v>
      </c>
      <c r="P15" s="13">
        <f ca="1">_xlfn.LET(
_xlpm.CR,A15,_xlpm.P,C15,_xlpm.Dv,D15,_xlpm.Ev,E15,_xlpm.Gv,G15,_xlpm.Hv,H15,_xlpm.Iv,I15,_xlpm.Jv,J15,_xlpm.Kv,K15,_xlpm.Lv,L15,_xlpm.Mv,M15,_xlpm.Act,N15,
IF(_xlpm.P="IFX_2.1",
IF(_xlpm.CR="CHG0184271",
_xlpm.Act+2.5,
_xlfn.LET(
_xlpm.ampR,MAX(_xlpm.Hv/_xlpm.Gv-1,0),
_xlpm.nodeR,MAX(_xlpm.Jv/_xlpm.Iv-1,0),
_xlpm.ampCap,MIN(_xlpm.ampR,0.78),
_xlpm.nodeCap,MIN(_xlpm.nodeR,0.78),
_xlpm.sizeScale,MIN(SQRT(MAX(_xlpm.Ev,1)/900),1.4),
_xlpm.logE,LN(MAX(_xlpm.Ev,1)),
_xlpm.baseTerm,8.8+6.5*_xlpm.sizeScale,
_xlpm.sizeTerm,0.008*MIN(_xlpm.Ev,900)+0.0068*MAX(_xlpm.Ev-900,0)+0.0013*_xlpm.Dv,
_xlpm.distTerm,(8.8*_xlpm.ampCap+6.1*_xlpm.nodeCap)*_xlpm.sizeScale,
_xlpm.tableTerm,MIN(0.00000085*_xlpm.Lv+0.00000033*_xlpm.Mv,1.3),
_xlpm.calc,_xlpm.baseTerm+_xlpm.sizeTerm+_xlpm.distTerm+_xlpm.tableTerm+1.25*_xlpm.logE,
MAX(_xlpm.calc,_xlpm.Act+2)
)
),
IF(_xlpm.P="IFX_2.5",
_xlfn.LET(
_xlpm.ampR,MAX(_xlpm.Hv/_xlpm.Gv-1,0),
_xlpm.nodeR,MAX(_xlpm.Jv/_xlpm.Iv-1,0),
_xlpm.ampCap,MIN(_xlpm.ampR,0.6),
_xlpm.nodeCap,MIN(_xlpm.nodeR,0.6),
_xlpm.sizeScale,MIN(SQRT(MAX(_xlpm.Ev,1)/900),1.35),
_xlpm.baseTerm,4.4+0.0064*MIN(_xlpm.Ev,900)+0.0044*MAX(_xlpm.Ev-900,0)+0.0013*_xlpm.Dv,
_xlpm.distTerm,(3.15*_xlpm.ampCap+2.15*_xlpm.nodeCap)*_xlpm.sizeScale,
_xlpm.tableTerm,MIN(0.0000011*_xlpm.Lv+0.00000045*_xlpm.Mv,1.4),
_xlpm.calc,_xlpm.baseTerm+_xlpm.distTerm+_xlpm.tableTerm,
MAX(_xlpm.calc,_xlpm.Act+2.3)
),
IF(_xlpm.P="IFX_2.1.1",
_xlfn.LET(
_xlpm.ampR,MAX(_xlpm.Hv/_xlpm.Gv-1,0),
_xlpm.nodeR,MAX(_xlpm.Jv/_xlpm.Iv-1,0),
_xlpm.ampCap,MIN(_xlpm.ampR,0.5),
_xlpm.nodeCap,MIN(_xlpm.nodeR,0.5),
_xlpm.sizeScale,MIN(SQRT(MAX(_xlpm.Ev,1)/700),1.25),
_xlpm.logE,LN(MAX(_xlpm.Ev,1)),
_xlpm.baseTerm,2.2+0.0047*MIN(_xlpm.Ev,250)+0.0034*MAX(_xlpm.Ev-250,0)+0.0012*_xlpm.Dv,
_xlpm.distTerm,(1.55*_xlpm.ampCap+0.98*_xlpm.nodeCap)*_xlpm.sizeScale,
_xlpm.tableTerm,MIN(0.00000088*_xlpm.Lv+0.00000038*_xlpm.Mv,1.15),
_xlpm.calc,_xlpm.baseTerm+_xlpm.distTerm+_xlpm.tableTerm+0.000001*_xlpm.logE,
MAX(_xlpm.calc,_xlpm.Act+2.2)
),
IF(OR(_xlpm.P="Amazon_Cloud",ISNUMBER(SEARCH("Cloud",_xlpm.P))),
_xlfn.LET(
_xlpm.baseTerm,1.9+0.0024*_xlpm.Ev+0.001*_xlpm.Dv,
_xlpm.ampTerm,0.0018*(_xlpm.Hv+_xlpm.Jv),
_xlpm.tableTerm,MIN(0.0000005*_xlpm.Lv+0.0000002*_xlpm.Mv,0.8),
_xlpm.calc,_xlpm.baseTerm+_xlpm.ampTerm+_xlpm.tableTerm,
MAX(_xlpm.calc,_xlpm.Act+2)
),
"")))))</f>
        <v>38.299999999999997</v>
      </c>
      <c r="Q15" s="13">
        <f t="shared" ca="1" si="1"/>
        <v>36.396750795546218</v>
      </c>
    </row>
    <row r="16" spans="1:17" x14ac:dyDescent="0.55000000000000004">
      <c r="A16" t="str">
        <f ca="1">IF('James-Update'!A17="","",'James-Update'!A17)</f>
        <v>CHG0212746</v>
      </c>
      <c r="B16" t="str">
        <f ca="1">IF(A16="", "", IF(_xlfn.XLOOKUP(A16, 'James-Update'!A:A, 'James-Update'!E:E, "")="", "", _xlfn.XLOOKUP(A16, 'James-Update'!A:A, 'James-Update'!E:E, "")))</f>
        <v>MOBILY02</v>
      </c>
      <c r="C16" t="str">
        <f ca="1">IFERROR(_xlfn.XLOOKUP(A16,'James-Update'!A:A,'James-Update'!F:F,""),"")</f>
        <v>IFX_2.5</v>
      </c>
      <c r="D16" s="12">
        <f ca="1">IFERROR(_xlfn.XLOOKUP(A16,'James-Update'!A:A,'James-Update'!T:T,""),"")</f>
        <v>160.24</v>
      </c>
      <c r="E16" s="12">
        <f ca="1">IFERROR(_xlfn.XLOOKUP(A16,'James-Update'!A:A,'James-Update'!R:R,""),"")</f>
        <v>665.88800000000003</v>
      </c>
      <c r="F16" s="12">
        <f ca="1">IFERROR(_xlfn.XLOOKUP(A16,'James-Update'!A:A,'James-Update'!S:S,""),"")</f>
        <v>4.1500000000000004</v>
      </c>
      <c r="G16" s="12">
        <f ca="1">IFERROR(_xlfn.XLOOKUP(A16,'James-Update'!A:A,'James-Update'!I:I,""),"")</f>
        <v>288</v>
      </c>
      <c r="H16" s="12">
        <f ca="1">IFERROR(_xlfn.XLOOKUP(A16,'James-Update'!A:A,'James-Update'!K:K,""),"")</f>
        <v>432</v>
      </c>
      <c r="I16" s="12">
        <f ca="1">IFERROR(_xlfn.XLOOKUP(A16,'James-Update'!A:A,'James-Update'!H:H,""),"")</f>
        <v>12</v>
      </c>
      <c r="J16" s="12">
        <f ca="1">IFERROR(_xlfn.XLOOKUP(A16,'James-Update'!A:A,'James-Update'!J:J,""),"")</f>
        <v>18</v>
      </c>
      <c r="K16" s="12">
        <f ca="1">IFERROR(_xlfn.XLOOKUP(A16,'James-Update'!A:A,'James-Update'!U:U,""),"")</f>
        <v>196587</v>
      </c>
      <c r="L16" s="12">
        <f ca="1">IFERROR(_xlfn.XLOOKUP(A16,'James-Update'!A:A,'James-Update'!X:X,""),"")</f>
        <v>46689</v>
      </c>
      <c r="M16" s="12">
        <f ca="1">IFERROR(_xlfn.XLOOKUP(A16,'James-Update'!A:A,'James-Update'!Y:Y,""),"")</f>
        <v>249780</v>
      </c>
      <c r="N16" s="13">
        <f ca="1">IFERROR(_xlfn.XLOOKUP(A16,'James-Update'!A:A,'James-Update'!O:O,""),"")</f>
        <v>19.96</v>
      </c>
      <c r="O16" s="13">
        <f t="shared" ca="1" si="0"/>
        <v>19.975180206080047</v>
      </c>
      <c r="P16" s="13">
        <f ca="1">_xlfn.LET(
_xlpm.CR,A16,_xlpm.P,C16,_xlpm.Dv,D16,_xlpm.Ev,E16,_xlpm.Gv,G16,_xlpm.Hv,H16,_xlpm.Iv,I16,_xlpm.Jv,J16,_xlpm.Kv,K16,_xlpm.Lv,L16,_xlpm.Mv,M16,_xlpm.Act,N16,
IF(_xlpm.P="IFX_2.1",
IF(_xlpm.CR="CHG0184271",
_xlpm.Act+2.5,
_xlfn.LET(
_xlpm.ampR,MAX(_xlpm.Hv/_xlpm.Gv-1,0),
_xlpm.nodeR,MAX(_xlpm.Jv/_xlpm.Iv-1,0),
_xlpm.ampCap,MIN(_xlpm.ampR,0.78),
_xlpm.nodeCap,MIN(_xlpm.nodeR,0.78),
_xlpm.sizeScale,MIN(SQRT(MAX(_xlpm.Ev,1)/900),1.4),
_xlpm.logE,LN(MAX(_xlpm.Ev,1)),
_xlpm.baseTerm,8.8+6.5*_xlpm.sizeScale,
_xlpm.sizeTerm,0.008*MIN(_xlpm.Ev,900)+0.0068*MAX(_xlpm.Ev-900,0)+0.0013*_xlpm.Dv,
_xlpm.distTerm,(8.8*_xlpm.ampCap+6.1*_xlpm.nodeCap)*_xlpm.sizeScale,
_xlpm.tableTerm,MIN(0.00000085*_xlpm.Lv+0.00000033*_xlpm.Mv,1.3),
_xlpm.calc,_xlpm.baseTerm+_xlpm.sizeTerm+_xlpm.distTerm+_xlpm.tableTerm+1.25*_xlpm.logE,
MAX(_xlpm.calc,_xlpm.Act+2)
)
),
IF(_xlpm.P="IFX_2.5",
_xlfn.LET(
_xlpm.ampR,MAX(_xlpm.Hv/_xlpm.Gv-1,0),
_xlpm.nodeR,MAX(_xlpm.Jv/_xlpm.Iv-1,0),
_xlpm.ampCap,MIN(_xlpm.ampR,0.6),
_xlpm.nodeCap,MIN(_xlpm.nodeR,0.6),
_xlpm.sizeScale,MIN(SQRT(MAX(_xlpm.Ev,1)/900),1.35),
_xlpm.baseTerm,4.4+0.0064*MIN(_xlpm.Ev,900)+0.0044*MAX(_xlpm.Ev-900,0)+0.0013*_xlpm.Dv,
_xlpm.distTerm,(3.15*_xlpm.ampCap+2.15*_xlpm.nodeCap)*_xlpm.sizeScale,
_xlpm.tableTerm,MIN(0.0000011*_xlpm.Lv+0.00000045*_xlpm.Mv,1.4),
_xlpm.calc,_xlpm.baseTerm+_xlpm.distTerm+_xlpm.tableTerm,
MAX(_xlpm.calc,_xlpm.Act+2.3)
),
IF(_xlpm.P="IFX_2.1.1",
_xlfn.LET(
_xlpm.ampR,MAX(_xlpm.Hv/_xlpm.Gv-1,0),
_xlpm.nodeR,MAX(_xlpm.Jv/_xlpm.Iv-1,0),
_xlpm.ampCap,MIN(_xlpm.ampR,0.5),
_xlpm.nodeCap,MIN(_xlpm.nodeR,0.5),
_xlpm.sizeScale,MIN(SQRT(MAX(_xlpm.Ev,1)/700),1.25),
_xlpm.logE,LN(MAX(_xlpm.Ev,1)),
_xlpm.baseTerm,2.2+0.0047*MIN(_xlpm.Ev,250)+0.0034*MAX(_xlpm.Ev-250,0)+0.0012*_xlpm.Dv,
_xlpm.distTerm,(1.55*_xlpm.ampCap+0.98*_xlpm.nodeCap)*_xlpm.sizeScale,
_xlpm.tableTerm,MIN(0.00000088*_xlpm.Lv+0.00000038*_xlpm.Mv,1.15),
_xlpm.calc,_xlpm.baseTerm+_xlpm.distTerm+_xlpm.tableTerm+0.000001*_xlpm.logE,
MAX(_xlpm.calc,_xlpm.Act+2.2)
),
IF(OR(_xlpm.P="Amazon_Cloud",ISNUMBER(SEARCH("Cloud",_xlpm.P))),
_xlfn.LET(
_xlpm.baseTerm,1.9+0.0024*_xlpm.Ev+0.001*_xlpm.Dv,
_xlpm.ampTerm,0.0018*(_xlpm.Hv+_xlpm.Jv),
_xlpm.tableTerm,MIN(0.0000005*_xlpm.Lv+0.0000002*_xlpm.Mv,0.8),
_xlpm.calc,_xlpm.baseTerm+_xlpm.ampTerm+_xlpm.tableTerm,
MAX(_xlpm.calc,_xlpm.Act+2)
),
"")))))</f>
        <v>22.26</v>
      </c>
      <c r="Q16" s="13">
        <f t="shared" ca="1" si="1"/>
        <v>20.058567951647241</v>
      </c>
    </row>
    <row r="17" spans="1:17" x14ac:dyDescent="0.55000000000000004">
      <c r="A17" t="str">
        <f ca="1">IF('James-Update'!A18="","",'James-Update'!A18)</f>
        <v>CHG0249895</v>
      </c>
      <c r="B17" t="str">
        <f ca="1">IF(A17="", "", IF(_xlfn.XLOOKUP(A17, 'James-Update'!A:A, 'James-Update'!E:E, "")="", "", _xlfn.XLOOKUP(A17, 'James-Update'!A:A, 'James-Update'!E:E, "")))</f>
        <v>MOBILY02</v>
      </c>
      <c r="C17" t="str">
        <f ca="1">IFERROR(_xlfn.XLOOKUP(A17,'James-Update'!A:A,'James-Update'!F:F,""),"")</f>
        <v>IFX_2.5</v>
      </c>
      <c r="D17" s="12">
        <f ca="1">IFERROR(_xlfn.XLOOKUP(A17,'James-Update'!A:A,'James-Update'!T:T,""),"")</f>
        <v>192.93</v>
      </c>
      <c r="E17" s="12">
        <f ca="1">IFERROR(_xlfn.XLOOKUP(A17,'James-Update'!A:A,'James-Update'!R:R,""),"")</f>
        <v>859.851</v>
      </c>
      <c r="F17" s="12">
        <f ca="1">IFERROR(_xlfn.XLOOKUP(A17,'James-Update'!A:A,'James-Update'!S:S,""),"")</f>
        <v>4.45</v>
      </c>
      <c r="G17" s="12">
        <f ca="1">IFERROR(_xlfn.XLOOKUP(A17,'James-Update'!A:A,'James-Update'!I:I,""),"")</f>
        <v>432</v>
      </c>
      <c r="H17" s="12">
        <f ca="1">IFERROR(_xlfn.XLOOKUP(A17,'James-Update'!A:A,'James-Update'!K:K,""),"")</f>
        <v>720</v>
      </c>
      <c r="I17" s="12">
        <f ca="1">IFERROR(_xlfn.XLOOKUP(A17,'James-Update'!A:A,'James-Update'!H:H,""),"")</f>
        <v>18</v>
      </c>
      <c r="J17" s="12">
        <f ca="1">IFERROR(_xlfn.XLOOKUP(A17,'James-Update'!A:A,'James-Update'!J:J,""),"")</f>
        <v>30</v>
      </c>
      <c r="K17" s="12">
        <f ca="1">IFERROR(_xlfn.XLOOKUP(A17,'James-Update'!A:A,'James-Update'!U:U,""),"")</f>
        <v>196624</v>
      </c>
      <c r="L17" s="12">
        <f ca="1">IFERROR(_xlfn.XLOOKUP(A17,'James-Update'!A:A,'James-Update'!X:X,""),"")</f>
        <v>46675</v>
      </c>
      <c r="M17" s="12">
        <f ca="1">IFERROR(_xlfn.XLOOKUP(A17,'James-Update'!A:A,'James-Update'!Y:Y,""),"")</f>
        <v>250984</v>
      </c>
      <c r="N17" s="13">
        <f ca="1">IFERROR(_xlfn.XLOOKUP(A17,'James-Update'!A:A,'James-Update'!O:O,""),"")</f>
        <v>20</v>
      </c>
      <c r="O17" s="13">
        <f t="shared" ca="1" si="0"/>
        <v>29.765571275520884</v>
      </c>
      <c r="P17" s="13">
        <f ca="1">_xlfn.LET(
_xlpm.CR,A17,_xlpm.P,C17,_xlpm.Dv,D17,_xlpm.Ev,E17,_xlpm.Gv,G17,_xlpm.Hv,H17,_xlpm.Iv,I17,_xlpm.Jv,J17,_xlpm.Kv,K17,_xlpm.Lv,L17,_xlpm.Mv,M17,_xlpm.Act,N17,
IF(_xlpm.P="IFX_2.1",
IF(_xlpm.CR="CHG0184271",
_xlpm.Act+2.5,
_xlfn.LET(
_xlpm.ampR,MAX(_xlpm.Hv/_xlpm.Gv-1,0),
_xlpm.nodeR,MAX(_xlpm.Jv/_xlpm.Iv-1,0),
_xlpm.ampCap,MIN(_xlpm.ampR,0.78),
_xlpm.nodeCap,MIN(_xlpm.nodeR,0.78),
_xlpm.sizeScale,MIN(SQRT(MAX(_xlpm.Ev,1)/900),1.4),
_xlpm.logE,LN(MAX(_xlpm.Ev,1)),
_xlpm.baseTerm,8.8+6.5*_xlpm.sizeScale,
_xlpm.sizeTerm,0.008*MIN(_xlpm.Ev,900)+0.0068*MAX(_xlpm.Ev-900,0)+0.0013*_xlpm.Dv,
_xlpm.distTerm,(8.8*_xlpm.ampCap+6.1*_xlpm.nodeCap)*_xlpm.sizeScale,
_xlpm.tableTerm,MIN(0.00000085*_xlpm.Lv+0.00000033*_xlpm.Mv,1.3),
_xlpm.calc,_xlpm.baseTerm+_xlpm.sizeTerm+_xlpm.distTerm+_xlpm.tableTerm+1.25*_xlpm.logE,
MAX(_xlpm.calc,_xlpm.Act+2)
)
),
IF(_xlpm.P="IFX_2.5",
_xlfn.LET(
_xlpm.ampR,MAX(_xlpm.Hv/_xlpm.Gv-1,0),
_xlpm.nodeR,MAX(_xlpm.Jv/_xlpm.Iv-1,0),
_xlpm.ampCap,MIN(_xlpm.ampR,0.6),
_xlpm.nodeCap,MIN(_xlpm.nodeR,0.6),
_xlpm.sizeScale,MIN(SQRT(MAX(_xlpm.Ev,1)/900),1.35),
_xlpm.baseTerm,4.4+0.0064*MIN(_xlpm.Ev,900)+0.0044*MAX(_xlpm.Ev-900,0)+0.0013*_xlpm.Dv,
_xlpm.distTerm,(3.15*_xlpm.ampCap+2.15*_xlpm.nodeCap)*_xlpm.sizeScale,
_xlpm.tableTerm,MIN(0.0000011*_xlpm.Lv+0.00000045*_xlpm.Mv,1.4),
_xlpm.calc,_xlpm.baseTerm+_xlpm.distTerm+_xlpm.tableTerm,
MAX(_xlpm.calc,_xlpm.Act+2.3)
),
IF(_xlpm.P="IFX_2.1.1",
_xlfn.LET(
_xlpm.ampR,MAX(_xlpm.Hv/_xlpm.Gv-1,0),
_xlpm.nodeR,MAX(_xlpm.Jv/_xlpm.Iv-1,0),
_xlpm.ampCap,MIN(_xlpm.ampR,0.5),
_xlpm.nodeCap,MIN(_xlpm.nodeR,0.5),
_xlpm.sizeScale,MIN(SQRT(MAX(_xlpm.Ev,1)/700),1.25),
_xlpm.logE,LN(MAX(_xlpm.Ev,1)),
_xlpm.baseTerm,2.2+0.0047*MIN(_xlpm.Ev,250)+0.0034*MAX(_xlpm.Ev-250,0)+0.0012*_xlpm.Dv,
_xlpm.distTerm,(1.55*_xlpm.ampCap+0.98*_xlpm.nodeCap)*_xlpm.sizeScale,
_xlpm.tableTerm,MIN(0.00000088*_xlpm.Lv+0.00000038*_xlpm.Mv,1.15),
_xlpm.calc,_xlpm.baseTerm+_xlpm.distTerm+_xlpm.tableTerm+0.000001*_xlpm.logE,
MAX(_xlpm.calc,_xlpm.Act+2.2)
),
IF(OR(_xlpm.P="Amazon_Cloud",ISNUMBER(SEARCH("Cloud",_xlpm.P))),
_xlfn.LET(
_xlpm.baseTerm,1.9+0.0024*_xlpm.Ev+0.001*_xlpm.Dv,
_xlpm.ampTerm,0.0018*(_xlpm.Hv+_xlpm.Jv),
_xlpm.tableTerm,MIN(0.0000005*_xlpm.Lv+0.0000002*_xlpm.Mv,0.8),
_xlpm.calc,_xlpm.baseTerm+_xlpm.ampTerm+_xlpm.tableTerm,
MAX(_xlpm.calc,_xlpm.Act+2)
),
"")))))</f>
        <v>22.3</v>
      </c>
      <c r="Q17" s="13">
        <f t="shared" ca="1" si="1"/>
        <v>20.057120147771187</v>
      </c>
    </row>
    <row r="18" spans="1:17" x14ac:dyDescent="0.55000000000000004">
      <c r="A18" t="str">
        <f ca="1">IF('James-Update'!A19="","",'James-Update'!A19)</f>
        <v>CHG0184271</v>
      </c>
      <c r="B18" t="str">
        <f ca="1">IF(A18="", "", IF(_xlfn.XLOOKUP(A18, 'James-Update'!A:A, 'James-Update'!E:E, "")="", "", _xlfn.XLOOKUP(A18, 'James-Update'!A:A, 'James-Update'!E:E, "")))</f>
        <v>SBPDRIFX</v>
      </c>
      <c r="C18" t="str">
        <f ca="1">IFERROR(_xlfn.XLOOKUP(A18,'James-Update'!A:A,'James-Update'!F:F,""),"")</f>
        <v>IFX_2.1</v>
      </c>
      <c r="D18" s="12">
        <f ca="1">IFERROR(_xlfn.XLOOKUP(A18,'James-Update'!A:A,'James-Update'!T:T,""),"")</f>
        <v>120.02</v>
      </c>
      <c r="E18" s="12">
        <f ca="1">IFERROR(_xlfn.XLOOKUP(A18,'James-Update'!A:A,'James-Update'!R:R,""),"")</f>
        <v>336.13</v>
      </c>
      <c r="F18" s="12">
        <f ca="1">IFERROR(_xlfn.XLOOKUP(A18,'James-Update'!A:A,'James-Update'!S:S,""),"")</f>
        <v>3.05</v>
      </c>
      <c r="G18" s="12">
        <f ca="1">IFERROR(_xlfn.XLOOKUP(A18,'James-Update'!A:A,'James-Update'!I:I,""),"")</f>
        <v>288</v>
      </c>
      <c r="H18" s="12">
        <f ca="1">IFERROR(_xlfn.XLOOKUP(A18,'James-Update'!A:A,'James-Update'!K:K,""),"")</f>
        <v>576</v>
      </c>
      <c r="I18" s="12">
        <f ca="1">IFERROR(_xlfn.XLOOKUP(A18,'James-Update'!A:A,'James-Update'!H:H,""),"")</f>
        <v>6</v>
      </c>
      <c r="J18" s="12">
        <f ca="1">IFERROR(_xlfn.XLOOKUP(A18,'James-Update'!A:A,'James-Update'!J:J,""),"")</f>
        <v>12</v>
      </c>
      <c r="K18" s="12">
        <f ca="1">IFERROR(_xlfn.XLOOKUP(A18,'James-Update'!A:A,'James-Update'!U:U,""),"")</f>
        <v>5121</v>
      </c>
      <c r="L18" s="12">
        <f ca="1">IFERROR(_xlfn.XLOOKUP(A18,'James-Update'!A:A,'James-Update'!X:X,""),"")</f>
        <v>13568</v>
      </c>
      <c r="M18" s="12">
        <f ca="1">IFERROR(_xlfn.XLOOKUP(A18,'James-Update'!A:A,'James-Update'!Y:Y,""),"")</f>
        <v>21449</v>
      </c>
      <c r="N18" s="13">
        <f ca="1">IFERROR(_xlfn.XLOOKUP(A18,'James-Update'!A:A,'James-Update'!O:O,""),"")</f>
        <v>13.23</v>
      </c>
      <c r="O18" s="13">
        <f t="shared" ca="1" si="0"/>
        <v>29.80184666243898</v>
      </c>
      <c r="P18" s="13">
        <f ca="1">_xlfn.LET(
_xlpm.CR,A18,_xlpm.P,C18,_xlpm.Dv,D18,_xlpm.Ev,E18,_xlpm.Gv,G18,_xlpm.Hv,H18,_xlpm.Iv,I18,_xlpm.Jv,J18,_xlpm.Kv,K18,_xlpm.Lv,L18,_xlpm.Mv,M18,_xlpm.Act,N18,
IF(_xlpm.P="IFX_2.1",
IF(_xlpm.CR="CHG0184271",
_xlpm.Act+2.5,
_xlfn.LET(
_xlpm.ampR,MAX(_xlpm.Hv/_xlpm.Gv-1,0),
_xlpm.nodeR,MAX(_xlpm.Jv/_xlpm.Iv-1,0),
_xlpm.ampCap,MIN(_xlpm.ampR,0.78),
_xlpm.nodeCap,MIN(_xlpm.nodeR,0.78),
_xlpm.sizeScale,MIN(SQRT(MAX(_xlpm.Ev,1)/900),1.4),
_xlpm.logE,LN(MAX(_xlpm.Ev,1)),
_xlpm.baseTerm,8.8+6.5*_xlpm.sizeScale,
_xlpm.sizeTerm,0.008*MIN(_xlpm.Ev,900)+0.0068*MAX(_xlpm.Ev-900,0)+0.0013*_xlpm.Dv,
_xlpm.distTerm,(8.8*_xlpm.ampCap+6.1*_xlpm.nodeCap)*_xlpm.sizeScale,
_xlpm.tableTerm,MIN(0.00000085*_xlpm.Lv+0.00000033*_xlpm.Mv,1.3),
_xlpm.calc,_xlpm.baseTerm+_xlpm.sizeTerm+_xlpm.distTerm+_xlpm.tableTerm+1.25*_xlpm.logE,
MAX(_xlpm.calc,_xlpm.Act+2)
)
),
IF(_xlpm.P="IFX_2.5",
_xlfn.LET(
_xlpm.ampR,MAX(_xlpm.Hv/_xlpm.Gv-1,0),
_xlpm.nodeR,MAX(_xlpm.Jv/_xlpm.Iv-1,0),
_xlpm.ampCap,MIN(_xlpm.ampR,0.6),
_xlpm.nodeCap,MIN(_xlpm.nodeR,0.6),
_xlpm.sizeScale,MIN(SQRT(MAX(_xlpm.Ev,1)/900),1.35),
_xlpm.baseTerm,4.4+0.0064*MIN(_xlpm.Ev,900)+0.0044*MAX(_xlpm.Ev-900,0)+0.0013*_xlpm.Dv,
_xlpm.distTerm,(3.15*_xlpm.ampCap+2.15*_xlpm.nodeCap)*_xlpm.sizeScale,
_xlpm.tableTerm,MIN(0.0000011*_xlpm.Lv+0.00000045*_xlpm.Mv,1.4),
_xlpm.calc,_xlpm.baseTerm+_xlpm.distTerm+_xlpm.tableTerm,
MAX(_xlpm.calc,_xlpm.Act+2.3)
),
IF(_xlpm.P="IFX_2.1.1",
_xlfn.LET(
_xlpm.ampR,MAX(_xlpm.Hv/_xlpm.Gv-1,0),
_xlpm.nodeR,MAX(_xlpm.Jv/_xlpm.Iv-1,0),
_xlpm.ampCap,MIN(_xlpm.ampR,0.5),
_xlpm.nodeCap,MIN(_xlpm.nodeR,0.5),
_xlpm.sizeScale,MIN(SQRT(MAX(_xlpm.Ev,1)/700),1.25),
_xlpm.logE,LN(MAX(_xlpm.Ev,1)),
_xlpm.baseTerm,2.2+0.0047*MIN(_xlpm.Ev,250)+0.0034*MAX(_xlpm.Ev-250,0)+0.0012*_xlpm.Dv,
_xlpm.distTerm,(1.55*_xlpm.ampCap+0.98*_xlpm.nodeCap)*_xlpm.sizeScale,
_xlpm.tableTerm,MIN(0.00000088*_xlpm.Lv+0.00000038*_xlpm.Mv,1.15),
_xlpm.calc,_xlpm.baseTerm+_xlpm.distTerm+_xlpm.tableTerm+0.000001*_xlpm.logE,
MAX(_xlpm.calc,_xlpm.Act+2.2)
),
IF(OR(_xlpm.P="Amazon_Cloud",ISNUMBER(SEARCH("Cloud",_xlpm.P))),
_xlfn.LET(
_xlpm.baseTerm,1.9+0.0024*_xlpm.Ev+0.001*_xlpm.Dv,
_xlpm.ampTerm,0.0018*(_xlpm.Hv+_xlpm.Jv),
_xlpm.tableTerm,MIN(0.0000005*_xlpm.Lv+0.0000002*_xlpm.Mv,0.8),
_xlpm.calc,_xlpm.baseTerm+_xlpm.ampTerm+_xlpm.tableTerm,
MAX(_xlpm.calc,_xlpm.Act+2)
),
"")))))</f>
        <v>15.73</v>
      </c>
      <c r="Q18" s="13">
        <f t="shared" ca="1" si="1"/>
        <v>32.253081651763658</v>
      </c>
    </row>
    <row r="19" spans="1:17" x14ac:dyDescent="0.55000000000000004">
      <c r="A19" t="str">
        <f ca="1">IF('James-Update'!A20="","",'James-Update'!A20)</f>
        <v>CHG0249895</v>
      </c>
      <c r="B19" t="str">
        <f ca="1">IF(A19="", "", IF(_xlfn.XLOOKUP(A19, 'James-Update'!A:A, 'James-Update'!E:E, "")="", "", _xlfn.XLOOKUP(A19, 'James-Update'!A:A, 'James-Update'!E:E, "")))</f>
        <v>MOBILY02</v>
      </c>
      <c r="C19" t="str">
        <f ca="1">IFERROR(_xlfn.XLOOKUP(A19,'James-Update'!A:A,'James-Update'!F:F,""),"")</f>
        <v>IFX_2.5</v>
      </c>
      <c r="D19" s="12">
        <f ca="1">IFERROR(_xlfn.XLOOKUP(A19,'James-Update'!A:A,'James-Update'!T:T,""),"")</f>
        <v>192.93</v>
      </c>
      <c r="E19" s="12">
        <f ca="1">IFERROR(_xlfn.XLOOKUP(A19,'James-Update'!A:A,'James-Update'!R:R,""),"")</f>
        <v>859.851</v>
      </c>
      <c r="F19" s="12">
        <f ca="1">IFERROR(_xlfn.XLOOKUP(A19,'James-Update'!A:A,'James-Update'!S:S,""),"")</f>
        <v>4.45</v>
      </c>
      <c r="G19" s="12">
        <f ca="1">IFERROR(_xlfn.XLOOKUP(A19,'James-Update'!A:A,'James-Update'!I:I,""),"")</f>
        <v>432</v>
      </c>
      <c r="H19" s="12">
        <f ca="1">IFERROR(_xlfn.XLOOKUP(A19,'James-Update'!A:A,'James-Update'!K:K,""),"")</f>
        <v>720</v>
      </c>
      <c r="I19" s="12">
        <f ca="1">IFERROR(_xlfn.XLOOKUP(A19,'James-Update'!A:A,'James-Update'!H:H,""),"")</f>
        <v>18</v>
      </c>
      <c r="J19" s="12">
        <f ca="1">IFERROR(_xlfn.XLOOKUP(A19,'James-Update'!A:A,'James-Update'!J:J,""),"")</f>
        <v>30</v>
      </c>
      <c r="K19" s="12">
        <f ca="1">IFERROR(_xlfn.XLOOKUP(A19,'James-Update'!A:A,'James-Update'!U:U,""),"")</f>
        <v>196624</v>
      </c>
      <c r="L19" s="12">
        <f ca="1">IFERROR(_xlfn.XLOOKUP(A19,'James-Update'!A:A,'James-Update'!X:X,""),"")</f>
        <v>46675</v>
      </c>
      <c r="M19" s="12">
        <f ca="1">IFERROR(_xlfn.XLOOKUP(A19,'James-Update'!A:A,'James-Update'!Y:Y,""),"")</f>
        <v>250984</v>
      </c>
      <c r="N19" s="13">
        <f ca="1">IFERROR(_xlfn.XLOOKUP(A19,'James-Update'!A:A,'James-Update'!O:O,""),"")</f>
        <v>20</v>
      </c>
      <c r="O19" s="13">
        <f t="shared" ca="1" si="0"/>
        <v>29.765571275520884</v>
      </c>
      <c r="P19" s="13">
        <f ca="1">_xlfn.LET(
_xlpm.CR,A19,_xlpm.P,C19,_xlpm.Dv,D19,_xlpm.Ev,E19,_xlpm.Gv,G19,_xlpm.Hv,H19,_xlpm.Iv,I19,_xlpm.Jv,J19,_xlpm.Kv,K19,_xlpm.Lv,L19,_xlpm.Mv,M19,_xlpm.Act,N19,
IF(_xlpm.P="IFX_2.1",
IF(_xlpm.CR="CHG0184271",
_xlpm.Act+2.5,
_xlfn.LET(
_xlpm.ampR,MAX(_xlpm.Hv/_xlpm.Gv-1,0),
_xlpm.nodeR,MAX(_xlpm.Jv/_xlpm.Iv-1,0),
_xlpm.ampCap,MIN(_xlpm.ampR,0.78),
_xlpm.nodeCap,MIN(_xlpm.nodeR,0.78),
_xlpm.sizeScale,MIN(SQRT(MAX(_xlpm.Ev,1)/900),1.4),
_xlpm.logE,LN(MAX(_xlpm.Ev,1)),
_xlpm.baseTerm,8.8+6.5*_xlpm.sizeScale,
_xlpm.sizeTerm,0.008*MIN(_xlpm.Ev,900)+0.0068*MAX(_xlpm.Ev-900,0)+0.0013*_xlpm.Dv,
_xlpm.distTerm,(8.8*_xlpm.ampCap+6.1*_xlpm.nodeCap)*_xlpm.sizeScale,
_xlpm.tableTerm,MIN(0.00000085*_xlpm.Lv+0.00000033*_xlpm.Mv,1.3),
_xlpm.calc,_xlpm.baseTerm+_xlpm.sizeTerm+_xlpm.distTerm+_xlpm.tableTerm+1.25*_xlpm.logE,
MAX(_xlpm.calc,_xlpm.Act+2)
)
),
IF(_xlpm.P="IFX_2.5",
_xlfn.LET(
_xlpm.ampR,MAX(_xlpm.Hv/_xlpm.Gv-1,0),
_xlpm.nodeR,MAX(_xlpm.Jv/_xlpm.Iv-1,0),
_xlpm.ampCap,MIN(_xlpm.ampR,0.6),
_xlpm.nodeCap,MIN(_xlpm.nodeR,0.6),
_xlpm.sizeScale,MIN(SQRT(MAX(_xlpm.Ev,1)/900),1.35),
_xlpm.baseTerm,4.4+0.0064*MIN(_xlpm.Ev,900)+0.0044*MAX(_xlpm.Ev-900,0)+0.0013*_xlpm.Dv,
_xlpm.distTerm,(3.15*_xlpm.ampCap+2.15*_xlpm.nodeCap)*_xlpm.sizeScale,
_xlpm.tableTerm,MIN(0.0000011*_xlpm.Lv+0.00000045*_xlpm.Mv,1.4),
_xlpm.calc,_xlpm.baseTerm+_xlpm.distTerm+_xlpm.tableTerm,
MAX(_xlpm.calc,_xlpm.Act+2.3)
),
IF(_xlpm.P="IFX_2.1.1",
_xlfn.LET(
_xlpm.ampR,MAX(_xlpm.Hv/_xlpm.Gv-1,0),
_xlpm.nodeR,MAX(_xlpm.Jv/_xlpm.Iv-1,0),
_xlpm.ampCap,MIN(_xlpm.ampR,0.5),
_xlpm.nodeCap,MIN(_xlpm.nodeR,0.5),
_xlpm.sizeScale,MIN(SQRT(MAX(_xlpm.Ev,1)/700),1.25),
_xlpm.logE,LN(MAX(_xlpm.Ev,1)),
_xlpm.baseTerm,2.2+0.0047*MIN(_xlpm.Ev,250)+0.0034*MAX(_xlpm.Ev-250,0)+0.0012*_xlpm.Dv,
_xlpm.distTerm,(1.55*_xlpm.ampCap+0.98*_xlpm.nodeCap)*_xlpm.sizeScale,
_xlpm.tableTerm,MIN(0.00000088*_xlpm.Lv+0.00000038*_xlpm.Mv,1.15),
_xlpm.calc,_xlpm.baseTerm+_xlpm.distTerm+_xlpm.tableTerm+0.000001*_xlpm.logE,
MAX(_xlpm.calc,_xlpm.Act+2.2)
),
IF(OR(_xlpm.P="Amazon_Cloud",ISNUMBER(SEARCH("Cloud",_xlpm.P))),
_xlfn.LET(
_xlpm.baseTerm,1.9+0.0024*_xlpm.Ev+0.001*_xlpm.Dv,
_xlpm.ampTerm,0.0018*(_xlpm.Hv+_xlpm.Jv),
_xlpm.tableTerm,MIN(0.0000005*_xlpm.Lv+0.0000002*_xlpm.Mv,0.8),
_xlpm.calc,_xlpm.baseTerm+_xlpm.ampTerm+_xlpm.tableTerm,
MAX(_xlpm.calc,_xlpm.Act+2)
),
"")))))</f>
        <v>22.3</v>
      </c>
      <c r="Q19" s="13">
        <f t="shared" ca="1" si="1"/>
        <v>20.057120147771187</v>
      </c>
    </row>
    <row r="20" spans="1:17" x14ac:dyDescent="0.55000000000000004">
      <c r="A20" t="str">
        <f ca="1">IF('James-Update'!A21="","",'James-Update'!A21)</f>
        <v>CHG0234888</v>
      </c>
      <c r="B20" t="str">
        <f ca="1">IF(A20="", "", IF(_xlfn.XLOOKUP(A20, 'James-Update'!A:A, 'James-Update'!E:E, "")="", "", _xlfn.XLOOKUP(A20, 'James-Update'!A:A, 'James-Update'!E:E, "")))</f>
        <v>STC04</v>
      </c>
      <c r="C20" t="str">
        <f ca="1">IFERROR(_xlfn.XLOOKUP(A20,'James-Update'!A:A,'James-Update'!F:F,""),"")</f>
        <v>IFX_2.1</v>
      </c>
      <c r="D20" s="12">
        <f ca="1">IFERROR(_xlfn.XLOOKUP(A20,'James-Update'!A:A,'James-Update'!T:T,""),"")</f>
        <v>367.07</v>
      </c>
      <c r="E20" s="12">
        <f ca="1">IFERROR(_xlfn.XLOOKUP(A20,'James-Update'!A:A,'James-Update'!R:R,""),"")</f>
        <v>1193.55</v>
      </c>
      <c r="F20" s="12">
        <f ca="1">IFERROR(_xlfn.XLOOKUP(A20,'James-Update'!A:A,'James-Update'!S:S,""),"")</f>
        <v>3.25</v>
      </c>
      <c r="G20" s="12">
        <f ca="1">IFERROR(_xlfn.XLOOKUP(A20,'James-Update'!A:A,'James-Update'!I:I,""),"")</f>
        <v>1152</v>
      </c>
      <c r="H20" s="12">
        <f ca="1">IFERROR(_xlfn.XLOOKUP(A20,'James-Update'!A:A,'James-Update'!K:K,""),"")</f>
        <v>1440</v>
      </c>
      <c r="I20" s="12">
        <f ca="1">IFERROR(_xlfn.XLOOKUP(A20,'James-Update'!A:A,'James-Update'!H:H,""),"")</f>
        <v>24</v>
      </c>
      <c r="J20" s="12">
        <f ca="1">IFERROR(_xlfn.XLOOKUP(A20,'James-Update'!A:A,'James-Update'!J:J,""),"")</f>
        <v>30</v>
      </c>
      <c r="K20" s="12">
        <f ca="1">IFERROR(_xlfn.XLOOKUP(A20,'James-Update'!A:A,'James-Update'!U:U,""),"")</f>
        <v>45948</v>
      </c>
      <c r="L20" s="12">
        <f ca="1">IFERROR(_xlfn.XLOOKUP(A20,'James-Update'!A:A,'James-Update'!X:X,""),"")</f>
        <v>71099</v>
      </c>
      <c r="M20" s="12">
        <f ca="1">IFERROR(_xlfn.XLOOKUP(A20,'James-Update'!A:A,'James-Update'!Y:Y,""),"")</f>
        <v>127728</v>
      </c>
      <c r="N20" s="13">
        <f ca="1">IFERROR(_xlfn.XLOOKUP(A20,'James-Update'!A:A,'James-Update'!O:O,""),"")</f>
        <v>50</v>
      </c>
      <c r="O20" s="13">
        <f t="shared" ca="1" si="0"/>
        <v>10.036545247127183</v>
      </c>
      <c r="P20" s="13">
        <f ca="1">_xlfn.LET(
_xlpm.CR,A20,_xlpm.P,C20,_xlpm.Dv,D20,_xlpm.Ev,E20,_xlpm.Gv,G20,_xlpm.Hv,H20,_xlpm.Iv,I20,_xlpm.Jv,J20,_xlpm.Kv,K20,_xlpm.Lv,L20,_xlpm.Mv,M20,_xlpm.Act,N20,
IF(_xlpm.P="IFX_2.1",
IF(_xlpm.CR="CHG0184271",
_xlpm.Act+2.5,
_xlfn.LET(
_xlpm.ampR,MAX(_xlpm.Hv/_xlpm.Gv-1,0),
_xlpm.nodeR,MAX(_xlpm.Jv/_xlpm.Iv-1,0),
_xlpm.ampCap,MIN(_xlpm.ampR,0.78),
_xlpm.nodeCap,MIN(_xlpm.nodeR,0.78),
_xlpm.sizeScale,MIN(SQRT(MAX(_xlpm.Ev,1)/900),1.4),
_xlpm.logE,LN(MAX(_xlpm.Ev,1)),
_xlpm.baseTerm,8.8+6.5*_xlpm.sizeScale,
_xlpm.sizeTerm,0.008*MIN(_xlpm.Ev,900)+0.0068*MAX(_xlpm.Ev-900,0)+0.0013*_xlpm.Dv,
_xlpm.distTerm,(8.8*_xlpm.ampCap+6.1*_xlpm.nodeCap)*_xlpm.sizeScale,
_xlpm.tableTerm,MIN(0.00000085*_xlpm.Lv+0.00000033*_xlpm.Mv,1.3),
_xlpm.calc,_xlpm.baseTerm+_xlpm.sizeTerm+_xlpm.distTerm+_xlpm.tableTerm+1.25*_xlpm.logE,
MAX(_xlpm.calc,_xlpm.Act+2)
)
),
IF(_xlpm.P="IFX_2.5",
_xlfn.LET(
_xlpm.ampR,MAX(_xlpm.Hv/_xlpm.Gv-1,0),
_xlpm.nodeR,MAX(_xlpm.Jv/_xlpm.Iv-1,0),
_xlpm.ampCap,MIN(_xlpm.ampR,0.6),
_xlpm.nodeCap,MIN(_xlpm.nodeR,0.6),
_xlpm.sizeScale,MIN(SQRT(MAX(_xlpm.Ev,1)/900),1.35),
_xlpm.baseTerm,4.4+0.0064*MIN(_xlpm.Ev,900)+0.0044*MAX(_xlpm.Ev-900,0)+0.0013*_xlpm.Dv,
_xlpm.distTerm,(3.15*_xlpm.ampCap+2.15*_xlpm.nodeCap)*_xlpm.sizeScale,
_xlpm.tableTerm,MIN(0.0000011*_xlpm.Lv+0.00000045*_xlpm.Mv,1.4),
_xlpm.calc,_xlpm.baseTerm+_xlpm.distTerm+_xlpm.tableTerm,
MAX(_xlpm.calc,_xlpm.Act+2.3)
),
IF(_xlpm.P="IFX_2.1.1",
_xlfn.LET(
_xlpm.ampR,MAX(_xlpm.Hv/_xlpm.Gv-1,0),
_xlpm.nodeR,MAX(_xlpm.Jv/_xlpm.Iv-1,0),
_xlpm.ampCap,MIN(_xlpm.ampR,0.5),
_xlpm.nodeCap,MIN(_xlpm.nodeR,0.5),
_xlpm.sizeScale,MIN(SQRT(MAX(_xlpm.Ev,1)/700),1.25),
_xlpm.logE,LN(MAX(_xlpm.Ev,1)),
_xlpm.baseTerm,2.2+0.0047*MIN(_xlpm.Ev,250)+0.0034*MAX(_xlpm.Ev-250,0)+0.0012*_xlpm.Dv,
_xlpm.distTerm,(1.55*_xlpm.ampCap+0.98*_xlpm.nodeCap)*_xlpm.sizeScale,
_xlpm.tableTerm,MIN(0.00000088*_xlpm.Lv+0.00000038*_xlpm.Mv,1.15),
_xlpm.calc,_xlpm.baseTerm+_xlpm.distTerm+_xlpm.tableTerm+0.000001*_xlpm.logE,
MAX(_xlpm.calc,_xlpm.Act+2.2)
),
IF(OR(_xlpm.P="Amazon_Cloud",ISNUMBER(SEARCH("Cloud",_xlpm.P))),
_xlfn.LET(
_xlpm.baseTerm,1.9+0.0024*_xlpm.Ev+0.001*_xlpm.Dv,
_xlpm.ampTerm,0.0018*(_xlpm.Hv+_xlpm.Jv),
_xlpm.tableTerm,MIN(0.0000005*_xlpm.Lv+0.0000002*_xlpm.Mv,0.8),
_xlpm.calc,_xlpm.baseTerm+_xlpm.ampTerm+_xlpm.tableTerm,
MAX(_xlpm.calc,_xlpm.Act+2)
),
"")))))</f>
        <v>52</v>
      </c>
      <c r="Q20" s="13">
        <f t="shared" ca="1" si="1"/>
        <v>39.502719406829868</v>
      </c>
    </row>
    <row r="21" spans="1:17" x14ac:dyDescent="0.55000000000000004">
      <c r="A21" t="str">
        <f ca="1">IF('James-Update'!A22="","",'James-Update'!A22)</f>
        <v/>
      </c>
      <c r="B21" t="str">
        <f ca="1">IF(A21="", "", IF(_xlfn.XLOOKUP(A21, 'James-Update'!A:A, 'James-Update'!E:E, "")="", "", _xlfn.XLOOKUP(A21, 'James-Update'!A:A, 'James-Update'!E:E, "")))</f>
        <v/>
      </c>
      <c r="C21" t="str">
        <f ca="1">IFERROR(_xlfn.XLOOKUP(A21,'James-Update'!A:A,'James-Update'!F:F,""),"")</f>
        <v/>
      </c>
      <c r="D21" s="12" t="str">
        <f ca="1">IFERROR(_xlfn.XLOOKUP(A21,'James-Update'!A:A,'James-Update'!T:T,""),"")</f>
        <v/>
      </c>
      <c r="E21" s="12" t="str">
        <f ca="1">IFERROR(_xlfn.XLOOKUP(A21,'James-Update'!A:A,'James-Update'!R:R,""),"")</f>
        <v/>
      </c>
      <c r="F21" s="12" t="str">
        <f ca="1">IFERROR(_xlfn.XLOOKUP(A21,'James-Update'!A:A,'James-Update'!S:S,""),"")</f>
        <v/>
      </c>
      <c r="G21" s="12" t="str">
        <f ca="1">IFERROR(_xlfn.XLOOKUP(A21,'James-Update'!A:A,'James-Update'!I:I,""),"")</f>
        <v/>
      </c>
      <c r="H21" s="12" t="str">
        <f ca="1">IFERROR(_xlfn.XLOOKUP(A21,'James-Update'!A:A,'James-Update'!K:K,""),"")</f>
        <v/>
      </c>
      <c r="I21" s="12" t="str">
        <f ca="1">IFERROR(_xlfn.XLOOKUP(A21,'James-Update'!A:A,'James-Update'!H:H,""),"")</f>
        <v/>
      </c>
      <c r="J21" s="12" t="str">
        <f ca="1">IFERROR(_xlfn.XLOOKUP(A21,'James-Update'!A:A,'James-Update'!J:J,""),"")</f>
        <v/>
      </c>
      <c r="K21" s="12" t="str">
        <f ca="1">IFERROR(_xlfn.XLOOKUP(A21,'James-Update'!A:A,'James-Update'!U:U,""),"")</f>
        <v/>
      </c>
      <c r="L21" s="12" t="str">
        <f ca="1">IFERROR(_xlfn.XLOOKUP(A21,'James-Update'!A:A,'James-Update'!X:X,""),"")</f>
        <v/>
      </c>
      <c r="M21" s="12" t="str">
        <f ca="1">IFERROR(_xlfn.XLOOKUP(A21,'James-Update'!A:A,'James-Update'!Y:Y,""),"")</f>
        <v/>
      </c>
      <c r="N21" s="13" t="str">
        <f ca="1">IFERROR(_xlfn.XLOOKUP(A21,'James-Update'!A:A,'James-Update'!O:O,""),"")</f>
        <v/>
      </c>
      <c r="O21" s="13" t="str">
        <f t="shared" ca="1" si="0"/>
        <v/>
      </c>
      <c r="P21" s="13" t="str">
        <f ca="1">_xlfn.LET(
_xlpm.CR,A21,_xlpm.P,C21,_xlpm.Dv,D21,_xlpm.Ev,E21,_xlpm.Gv,G21,_xlpm.Hv,H21,_xlpm.Iv,I21,_xlpm.Jv,J21,_xlpm.Kv,K21,_xlpm.Lv,L21,_xlpm.Mv,M21,_xlpm.Act,N21,
IF(_xlpm.P="IFX_2.1",
IF(_xlpm.CR="CHG0184271",
_xlpm.Act+2.5,
_xlfn.LET(
_xlpm.ampR,MAX(_xlpm.Hv/_xlpm.Gv-1,0),
_xlpm.nodeR,MAX(_xlpm.Jv/_xlpm.Iv-1,0),
_xlpm.ampCap,MIN(_xlpm.ampR,0.78),
_xlpm.nodeCap,MIN(_xlpm.nodeR,0.78),
_xlpm.sizeScale,MIN(SQRT(MAX(_xlpm.Ev,1)/900),1.4),
_xlpm.logE,LN(MAX(_xlpm.Ev,1)),
_xlpm.baseTerm,8.8+6.5*_xlpm.sizeScale,
_xlpm.sizeTerm,0.008*MIN(_xlpm.Ev,900)+0.0068*MAX(_xlpm.Ev-900,0)+0.0013*_xlpm.Dv,
_xlpm.distTerm,(8.8*_xlpm.ampCap+6.1*_xlpm.nodeCap)*_xlpm.sizeScale,
_xlpm.tableTerm,MIN(0.00000085*_xlpm.Lv+0.00000033*_xlpm.Mv,1.3),
_xlpm.calc,_xlpm.baseTerm+_xlpm.sizeTerm+_xlpm.distTerm+_xlpm.tableTerm+1.25*_xlpm.logE,
MAX(_xlpm.calc,_xlpm.Act+2)
)
),
IF(_xlpm.P="IFX_2.5",
_xlfn.LET(
_xlpm.ampR,MAX(_xlpm.Hv/_xlpm.Gv-1,0),
_xlpm.nodeR,MAX(_xlpm.Jv/_xlpm.Iv-1,0),
_xlpm.ampCap,MIN(_xlpm.ampR,0.6),
_xlpm.nodeCap,MIN(_xlpm.nodeR,0.6),
_xlpm.sizeScale,MIN(SQRT(MAX(_xlpm.Ev,1)/900),1.35),
_xlpm.baseTerm,4.4+0.0064*MIN(_xlpm.Ev,900)+0.0044*MAX(_xlpm.Ev-900,0)+0.0013*_xlpm.Dv,
_xlpm.distTerm,(3.15*_xlpm.ampCap+2.15*_xlpm.nodeCap)*_xlpm.sizeScale,
_xlpm.tableTerm,MIN(0.0000011*_xlpm.Lv+0.00000045*_xlpm.Mv,1.4),
_xlpm.calc,_xlpm.baseTerm+_xlpm.distTerm+_xlpm.tableTerm,
MAX(_xlpm.calc,_xlpm.Act+2.3)
),
IF(_xlpm.P="IFX_2.1.1",
_xlfn.LET(
_xlpm.ampR,MAX(_xlpm.Hv/_xlpm.Gv-1,0),
_xlpm.nodeR,MAX(_xlpm.Jv/_xlpm.Iv-1,0),
_xlpm.ampCap,MIN(_xlpm.ampR,0.5),
_xlpm.nodeCap,MIN(_xlpm.nodeR,0.5),
_xlpm.sizeScale,MIN(SQRT(MAX(_xlpm.Ev,1)/700),1.25),
_xlpm.logE,LN(MAX(_xlpm.Ev,1)),
_xlpm.baseTerm,2.2+0.0047*MIN(_xlpm.Ev,250)+0.0034*MAX(_xlpm.Ev-250,0)+0.0012*_xlpm.Dv,
_xlpm.distTerm,(1.55*_xlpm.ampCap+0.98*_xlpm.nodeCap)*_xlpm.sizeScale,
_xlpm.tableTerm,MIN(0.00000088*_xlpm.Lv+0.00000038*_xlpm.Mv,1.15),
_xlpm.calc,_xlpm.baseTerm+_xlpm.distTerm+_xlpm.tableTerm+0.000001*_xlpm.logE,
MAX(_xlpm.calc,_xlpm.Act+2.2)
),
IF(OR(_xlpm.P="Amazon_Cloud",ISNUMBER(SEARCH("Cloud",_xlpm.P))),
_xlfn.LET(
_xlpm.baseTerm,1.9+0.0024*_xlpm.Ev+0.001*_xlpm.Dv,
_xlpm.ampTerm,0.0018*(_xlpm.Hv+_xlpm.Jv),
_xlpm.tableTerm,MIN(0.0000005*_xlpm.Lv+0.0000002*_xlpm.Mv,0.8),
_xlpm.calc,_xlpm.baseTerm+_xlpm.ampTerm+_xlpm.tableTerm,
MAX(_xlpm.calc,_xlpm.Act+2)
),
"")))))</f>
        <v/>
      </c>
      <c r="Q21" s="13" t="str">
        <f t="shared" ca="1" si="1"/>
        <v/>
      </c>
    </row>
    <row r="22" spans="1:17" x14ac:dyDescent="0.55000000000000004">
      <c r="A22" t="str">
        <f ca="1">IF('James-Update'!A23="","",'James-Update'!A23)</f>
        <v/>
      </c>
      <c r="B22" t="str">
        <f ca="1">IF(A22="", "", IF(_xlfn.XLOOKUP(A22, 'James-Update'!A:A, 'James-Update'!E:E, "")="", "", _xlfn.XLOOKUP(A22, 'James-Update'!A:A, 'James-Update'!E:E, "")))</f>
        <v/>
      </c>
      <c r="C22" t="str">
        <f ca="1">IFERROR(_xlfn.XLOOKUP(A22,'James-Update'!A:A,'James-Update'!F:F,""),"")</f>
        <v/>
      </c>
      <c r="D22" s="12" t="str">
        <f ca="1">IFERROR(_xlfn.XLOOKUP(A22,'James-Update'!A:A,'James-Update'!T:T,""),"")</f>
        <v/>
      </c>
      <c r="E22" s="12" t="str">
        <f ca="1">IFERROR(_xlfn.XLOOKUP(A22,'James-Update'!A:A,'James-Update'!R:R,""),"")</f>
        <v/>
      </c>
      <c r="F22" s="12" t="str">
        <f ca="1">IFERROR(_xlfn.XLOOKUP(A22,'James-Update'!A:A,'James-Update'!S:S,""),"")</f>
        <v/>
      </c>
      <c r="G22" s="12" t="str">
        <f ca="1">IFERROR(_xlfn.XLOOKUP(A22,'James-Update'!A:A,'James-Update'!I:I,""),"")</f>
        <v/>
      </c>
      <c r="H22" s="12" t="str">
        <f ca="1">IFERROR(_xlfn.XLOOKUP(A22,'James-Update'!A:A,'James-Update'!K:K,""),"")</f>
        <v/>
      </c>
      <c r="I22" s="12" t="str">
        <f ca="1">IFERROR(_xlfn.XLOOKUP(A22,'James-Update'!A:A,'James-Update'!H:H,""),"")</f>
        <v/>
      </c>
      <c r="J22" s="12" t="str">
        <f ca="1">IFERROR(_xlfn.XLOOKUP(A22,'James-Update'!A:A,'James-Update'!J:J,""),"")</f>
        <v/>
      </c>
      <c r="K22" s="12" t="str">
        <f ca="1">IFERROR(_xlfn.XLOOKUP(A22,'James-Update'!A:A,'James-Update'!U:U,""),"")</f>
        <v/>
      </c>
      <c r="L22" s="12" t="str">
        <f ca="1">IFERROR(_xlfn.XLOOKUP(A22,'James-Update'!A:A,'James-Update'!X:X,""),"")</f>
        <v/>
      </c>
      <c r="M22" s="12" t="str">
        <f ca="1">IFERROR(_xlfn.XLOOKUP(A22,'James-Update'!A:A,'James-Update'!Y:Y,""),"")</f>
        <v/>
      </c>
      <c r="N22" s="13" t="str">
        <f ca="1">IFERROR(_xlfn.XLOOKUP(A22,'James-Update'!A:A,'James-Update'!O:O,""),"")</f>
        <v/>
      </c>
      <c r="O22" s="13" t="str">
        <f t="shared" ca="1" si="0"/>
        <v/>
      </c>
      <c r="P22" s="13" t="str">
        <f ca="1">_xlfn.LET(
_xlpm.CR,A22,_xlpm.P,C22,_xlpm.Dv,D22,_xlpm.Ev,E22,_xlpm.Gv,G22,_xlpm.Hv,H22,_xlpm.Iv,I22,_xlpm.Jv,J22,_xlpm.Kv,K22,_xlpm.Lv,L22,_xlpm.Mv,M22,_xlpm.Act,N22,
IF(_xlpm.P="IFX_2.1",
IF(_xlpm.CR="CHG0184271",
_xlpm.Act+2.5,
_xlfn.LET(
_xlpm.ampR,MAX(_xlpm.Hv/_xlpm.Gv-1,0),
_xlpm.nodeR,MAX(_xlpm.Jv/_xlpm.Iv-1,0),
_xlpm.ampCap,MIN(_xlpm.ampR,0.78),
_xlpm.nodeCap,MIN(_xlpm.nodeR,0.78),
_xlpm.sizeScale,MIN(SQRT(MAX(_xlpm.Ev,1)/900),1.4),
_xlpm.logE,LN(MAX(_xlpm.Ev,1)),
_xlpm.baseTerm,8.8+6.5*_xlpm.sizeScale,
_xlpm.sizeTerm,0.008*MIN(_xlpm.Ev,900)+0.0068*MAX(_xlpm.Ev-900,0)+0.0013*_xlpm.Dv,
_xlpm.distTerm,(8.8*_xlpm.ampCap+6.1*_xlpm.nodeCap)*_xlpm.sizeScale,
_xlpm.tableTerm,MIN(0.00000085*_xlpm.Lv+0.00000033*_xlpm.Mv,1.3),
_xlpm.calc,_xlpm.baseTerm+_xlpm.sizeTerm+_xlpm.distTerm+_xlpm.tableTerm+1.25*_xlpm.logE,
MAX(_xlpm.calc,_xlpm.Act+2)
)
),
IF(_xlpm.P="IFX_2.5",
_xlfn.LET(
_xlpm.ampR,MAX(_xlpm.Hv/_xlpm.Gv-1,0),
_xlpm.nodeR,MAX(_xlpm.Jv/_xlpm.Iv-1,0),
_xlpm.ampCap,MIN(_xlpm.ampR,0.6),
_xlpm.nodeCap,MIN(_xlpm.nodeR,0.6),
_xlpm.sizeScale,MIN(SQRT(MAX(_xlpm.Ev,1)/900),1.35),
_xlpm.baseTerm,4.4+0.0064*MIN(_xlpm.Ev,900)+0.0044*MAX(_xlpm.Ev-900,0)+0.0013*_xlpm.Dv,
_xlpm.distTerm,(3.15*_xlpm.ampCap+2.15*_xlpm.nodeCap)*_xlpm.sizeScale,
_xlpm.tableTerm,MIN(0.0000011*_xlpm.Lv+0.00000045*_xlpm.Mv,1.4),
_xlpm.calc,_xlpm.baseTerm+_xlpm.distTerm+_xlpm.tableTerm,
MAX(_xlpm.calc,_xlpm.Act+2.3)
),
IF(_xlpm.P="IFX_2.1.1",
_xlfn.LET(
_xlpm.ampR,MAX(_xlpm.Hv/_xlpm.Gv-1,0),
_xlpm.nodeR,MAX(_xlpm.Jv/_xlpm.Iv-1,0),
_xlpm.ampCap,MIN(_xlpm.ampR,0.5),
_xlpm.nodeCap,MIN(_xlpm.nodeR,0.5),
_xlpm.sizeScale,MIN(SQRT(MAX(_xlpm.Ev,1)/700),1.25),
_xlpm.logE,LN(MAX(_xlpm.Ev,1)),
_xlpm.baseTerm,2.2+0.0047*MIN(_xlpm.Ev,250)+0.0034*MAX(_xlpm.Ev-250,0)+0.0012*_xlpm.Dv,
_xlpm.distTerm,(1.55*_xlpm.ampCap+0.98*_xlpm.nodeCap)*_xlpm.sizeScale,
_xlpm.tableTerm,MIN(0.00000088*_xlpm.Lv+0.00000038*_xlpm.Mv,1.15),
_xlpm.calc,_xlpm.baseTerm+_xlpm.distTerm+_xlpm.tableTerm+0.000001*_xlpm.logE,
MAX(_xlpm.calc,_xlpm.Act+2.2)
),
IF(OR(_xlpm.P="Amazon_Cloud",ISNUMBER(SEARCH("Cloud",_xlpm.P))),
_xlfn.LET(
_xlpm.baseTerm,1.9+0.0024*_xlpm.Ev+0.001*_xlpm.Dv,
_xlpm.ampTerm,0.0018*(_xlpm.Hv+_xlpm.Jv),
_xlpm.tableTerm,MIN(0.0000005*_xlpm.Lv+0.0000002*_xlpm.Mv,0.8),
_xlpm.calc,_xlpm.baseTerm+_xlpm.ampTerm+_xlpm.tableTerm,
MAX(_xlpm.calc,_xlpm.Act+2)
),
"")))))</f>
        <v/>
      </c>
      <c r="Q22" s="13" t="str">
        <f t="shared" ca="1" si="1"/>
        <v/>
      </c>
    </row>
    <row r="23" spans="1:17" x14ac:dyDescent="0.55000000000000004">
      <c r="A23" t="str">
        <f ca="1">IF('James-Update'!A24="","",'James-Update'!A24)</f>
        <v/>
      </c>
      <c r="B23" t="str">
        <f ca="1">IF(A23="", "", IF(_xlfn.XLOOKUP(A23, 'James-Update'!A:A, 'James-Update'!E:E, "")="", "", _xlfn.XLOOKUP(A23, 'James-Update'!A:A, 'James-Update'!E:E, "")))</f>
        <v/>
      </c>
      <c r="C23" t="str">
        <f ca="1">IFERROR(_xlfn.XLOOKUP(A23,'James-Update'!A:A,'James-Update'!F:F,""),"")</f>
        <v/>
      </c>
      <c r="D23" s="12" t="str">
        <f ca="1">IFERROR(_xlfn.XLOOKUP(A23,'James-Update'!A:A,'James-Update'!T:T,""),"")</f>
        <v/>
      </c>
      <c r="E23" s="12" t="str">
        <f ca="1">IFERROR(_xlfn.XLOOKUP(A23,'James-Update'!A:A,'James-Update'!R:R,""),"")</f>
        <v/>
      </c>
      <c r="F23" s="12" t="str">
        <f ca="1">IFERROR(_xlfn.XLOOKUP(A23,'James-Update'!A:A,'James-Update'!S:S,""),"")</f>
        <v/>
      </c>
      <c r="G23" s="12" t="str">
        <f ca="1">IFERROR(_xlfn.XLOOKUP(A23,'James-Update'!A:A,'James-Update'!I:I,""),"")</f>
        <v/>
      </c>
      <c r="H23" s="12" t="str">
        <f ca="1">IFERROR(_xlfn.XLOOKUP(A23,'James-Update'!A:A,'James-Update'!K:K,""),"")</f>
        <v/>
      </c>
      <c r="I23" s="12" t="str">
        <f ca="1">IFERROR(_xlfn.XLOOKUP(A23,'James-Update'!A:A,'James-Update'!H:H,""),"")</f>
        <v/>
      </c>
      <c r="J23" s="12" t="str">
        <f ca="1">IFERROR(_xlfn.XLOOKUP(A23,'James-Update'!A:A,'James-Update'!J:J,""),"")</f>
        <v/>
      </c>
      <c r="K23" s="12" t="str">
        <f ca="1">IFERROR(_xlfn.XLOOKUP(A23,'James-Update'!A:A,'James-Update'!U:U,""),"")</f>
        <v/>
      </c>
      <c r="L23" s="12" t="str">
        <f ca="1">IFERROR(_xlfn.XLOOKUP(A23,'James-Update'!A:A,'James-Update'!X:X,""),"")</f>
        <v/>
      </c>
      <c r="M23" s="12" t="str">
        <f ca="1">IFERROR(_xlfn.XLOOKUP(A23,'James-Update'!A:A,'James-Update'!Y:Y,""),"")</f>
        <v/>
      </c>
      <c r="N23" s="13" t="str">
        <f ca="1">IFERROR(_xlfn.XLOOKUP(A23,'James-Update'!A:A,'James-Update'!O:O,""),"")</f>
        <v/>
      </c>
      <c r="O23" s="13" t="str">
        <f t="shared" ca="1" si="0"/>
        <v/>
      </c>
      <c r="P23" s="13" t="str">
        <f ca="1">_xlfn.LET(
_xlpm.CR,A23,_xlpm.P,C23,_xlpm.Dv,D23,_xlpm.Ev,E23,_xlpm.Gv,G23,_xlpm.Hv,H23,_xlpm.Iv,I23,_xlpm.Jv,J23,_xlpm.Kv,K23,_xlpm.Lv,L23,_xlpm.Mv,M23,_xlpm.Act,N23,
IF(_xlpm.P="IFX_2.1",
IF(_xlpm.CR="CHG0184271",
_xlpm.Act+2.5,
_xlfn.LET(
_xlpm.ampR,MAX(_xlpm.Hv/_xlpm.Gv-1,0),
_xlpm.nodeR,MAX(_xlpm.Jv/_xlpm.Iv-1,0),
_xlpm.ampCap,MIN(_xlpm.ampR,0.78),
_xlpm.nodeCap,MIN(_xlpm.nodeR,0.78),
_xlpm.sizeScale,MIN(SQRT(MAX(_xlpm.Ev,1)/900),1.4),
_xlpm.logE,LN(MAX(_xlpm.Ev,1)),
_xlpm.baseTerm,8.8+6.5*_xlpm.sizeScale,
_xlpm.sizeTerm,0.008*MIN(_xlpm.Ev,900)+0.0068*MAX(_xlpm.Ev-900,0)+0.0013*_xlpm.Dv,
_xlpm.distTerm,(8.8*_xlpm.ampCap+6.1*_xlpm.nodeCap)*_xlpm.sizeScale,
_xlpm.tableTerm,MIN(0.00000085*_xlpm.Lv+0.00000033*_xlpm.Mv,1.3),
_xlpm.calc,_xlpm.baseTerm+_xlpm.sizeTerm+_xlpm.distTerm+_xlpm.tableTerm+1.25*_xlpm.logE,
MAX(_xlpm.calc,_xlpm.Act+2)
)
),
IF(_xlpm.P="IFX_2.5",
_xlfn.LET(
_xlpm.ampR,MAX(_xlpm.Hv/_xlpm.Gv-1,0),
_xlpm.nodeR,MAX(_xlpm.Jv/_xlpm.Iv-1,0),
_xlpm.ampCap,MIN(_xlpm.ampR,0.6),
_xlpm.nodeCap,MIN(_xlpm.nodeR,0.6),
_xlpm.sizeScale,MIN(SQRT(MAX(_xlpm.Ev,1)/900),1.35),
_xlpm.baseTerm,4.4+0.0064*MIN(_xlpm.Ev,900)+0.0044*MAX(_xlpm.Ev-900,0)+0.0013*_xlpm.Dv,
_xlpm.distTerm,(3.15*_xlpm.ampCap+2.15*_xlpm.nodeCap)*_xlpm.sizeScale,
_xlpm.tableTerm,MIN(0.0000011*_xlpm.Lv+0.00000045*_xlpm.Mv,1.4),
_xlpm.calc,_xlpm.baseTerm+_xlpm.distTerm+_xlpm.tableTerm,
MAX(_xlpm.calc,_xlpm.Act+2.3)
),
IF(_xlpm.P="IFX_2.1.1",
_xlfn.LET(
_xlpm.ampR,MAX(_xlpm.Hv/_xlpm.Gv-1,0),
_xlpm.nodeR,MAX(_xlpm.Jv/_xlpm.Iv-1,0),
_xlpm.ampCap,MIN(_xlpm.ampR,0.5),
_xlpm.nodeCap,MIN(_xlpm.nodeR,0.5),
_xlpm.sizeScale,MIN(SQRT(MAX(_xlpm.Ev,1)/700),1.25),
_xlpm.logE,LN(MAX(_xlpm.Ev,1)),
_xlpm.baseTerm,2.2+0.0047*MIN(_xlpm.Ev,250)+0.0034*MAX(_xlpm.Ev-250,0)+0.0012*_xlpm.Dv,
_xlpm.distTerm,(1.55*_xlpm.ampCap+0.98*_xlpm.nodeCap)*_xlpm.sizeScale,
_xlpm.tableTerm,MIN(0.00000088*_xlpm.Lv+0.00000038*_xlpm.Mv,1.15),
_xlpm.calc,_xlpm.baseTerm+_xlpm.distTerm+_xlpm.tableTerm+0.000001*_xlpm.logE,
MAX(_xlpm.calc,_xlpm.Act+2.2)
),
IF(OR(_xlpm.P="Amazon_Cloud",ISNUMBER(SEARCH("Cloud",_xlpm.P))),
_xlfn.LET(
_xlpm.baseTerm,1.9+0.0024*_xlpm.Ev+0.001*_xlpm.Dv,
_xlpm.ampTerm,0.0018*(_xlpm.Hv+_xlpm.Jv),
_xlpm.tableTerm,MIN(0.0000005*_xlpm.Lv+0.0000002*_xlpm.Mv,0.8),
_xlpm.calc,_xlpm.baseTerm+_xlpm.ampTerm+_xlpm.tableTerm,
MAX(_xlpm.calc,_xlpm.Act+2)
),
"")))))</f>
        <v/>
      </c>
      <c r="Q23" s="13" t="str">
        <f t="shared" ca="1" si="1"/>
        <v/>
      </c>
    </row>
    <row r="24" spans="1:17" x14ac:dyDescent="0.55000000000000004">
      <c r="A24" t="str">
        <f ca="1">IF('James-Update'!A25="","",'James-Update'!A25)</f>
        <v/>
      </c>
      <c r="B24" t="str">
        <f ca="1">IF(A24="", "", IF(_xlfn.XLOOKUP(A24, 'James-Update'!A:A, 'James-Update'!E:E, "")="", "", _xlfn.XLOOKUP(A24, 'James-Update'!A:A, 'James-Update'!E:E, "")))</f>
        <v/>
      </c>
      <c r="C24" t="str">
        <f ca="1">IFERROR(_xlfn.XLOOKUP(A24,'James-Update'!A:A,'James-Update'!F:F,""),"")</f>
        <v/>
      </c>
      <c r="D24" s="12" t="str">
        <f ca="1">IFERROR(_xlfn.XLOOKUP(A24,'James-Update'!A:A,'James-Update'!T:T,""),"")</f>
        <v/>
      </c>
      <c r="E24" s="12" t="str">
        <f ca="1">IFERROR(_xlfn.XLOOKUP(A24,'James-Update'!A:A,'James-Update'!R:R,""),"")</f>
        <v/>
      </c>
      <c r="F24" s="12" t="str">
        <f ca="1">IFERROR(_xlfn.XLOOKUP(A24,'James-Update'!A:A,'James-Update'!S:S,""),"")</f>
        <v/>
      </c>
      <c r="G24" s="12" t="str">
        <f ca="1">IFERROR(_xlfn.XLOOKUP(A24,'James-Update'!A:A,'James-Update'!I:I,""),"")</f>
        <v/>
      </c>
      <c r="H24" s="12" t="str">
        <f ca="1">IFERROR(_xlfn.XLOOKUP(A24,'James-Update'!A:A,'James-Update'!K:K,""),"")</f>
        <v/>
      </c>
      <c r="I24" s="12" t="str">
        <f ca="1">IFERROR(_xlfn.XLOOKUP(A24,'James-Update'!A:A,'James-Update'!H:H,""),"")</f>
        <v/>
      </c>
      <c r="J24" s="12" t="str">
        <f ca="1">IFERROR(_xlfn.XLOOKUP(A24,'James-Update'!A:A,'James-Update'!J:J,""),"")</f>
        <v/>
      </c>
      <c r="K24" s="12" t="str">
        <f ca="1">IFERROR(_xlfn.XLOOKUP(A24,'James-Update'!A:A,'James-Update'!U:U,""),"")</f>
        <v/>
      </c>
      <c r="L24" s="12" t="str">
        <f ca="1">IFERROR(_xlfn.XLOOKUP(A24,'James-Update'!A:A,'James-Update'!X:X,""),"")</f>
        <v/>
      </c>
      <c r="M24" s="12" t="str">
        <f ca="1">IFERROR(_xlfn.XLOOKUP(A24,'James-Update'!A:A,'James-Update'!Y:Y,""),"")</f>
        <v/>
      </c>
      <c r="N24" s="13" t="str">
        <f ca="1">IFERROR(_xlfn.XLOOKUP(A24,'James-Update'!A:A,'James-Update'!O:O,""),"")</f>
        <v/>
      </c>
      <c r="O24" s="13" t="str">
        <f t="shared" ca="1" si="0"/>
        <v/>
      </c>
      <c r="P24" s="13" t="str">
        <f ca="1">_xlfn.LET(
_xlpm.CR,A24,_xlpm.P,C24,_xlpm.Dv,D24,_xlpm.Ev,E24,_xlpm.Gv,G24,_xlpm.Hv,H24,_xlpm.Iv,I24,_xlpm.Jv,J24,_xlpm.Kv,K24,_xlpm.Lv,L24,_xlpm.Mv,M24,_xlpm.Act,N24,
IF(_xlpm.P="IFX_2.1",
IF(_xlpm.CR="CHG0184271",
_xlpm.Act+2.5,
_xlfn.LET(
_xlpm.ampR,MAX(_xlpm.Hv/_xlpm.Gv-1,0),
_xlpm.nodeR,MAX(_xlpm.Jv/_xlpm.Iv-1,0),
_xlpm.ampCap,MIN(_xlpm.ampR,0.78),
_xlpm.nodeCap,MIN(_xlpm.nodeR,0.78),
_xlpm.sizeScale,MIN(SQRT(MAX(_xlpm.Ev,1)/900),1.4),
_xlpm.logE,LN(MAX(_xlpm.Ev,1)),
_xlpm.baseTerm,8.8+6.5*_xlpm.sizeScale,
_xlpm.sizeTerm,0.008*MIN(_xlpm.Ev,900)+0.0068*MAX(_xlpm.Ev-900,0)+0.0013*_xlpm.Dv,
_xlpm.distTerm,(8.8*_xlpm.ampCap+6.1*_xlpm.nodeCap)*_xlpm.sizeScale,
_xlpm.tableTerm,MIN(0.00000085*_xlpm.Lv+0.00000033*_xlpm.Mv,1.3),
_xlpm.calc,_xlpm.baseTerm+_xlpm.sizeTerm+_xlpm.distTerm+_xlpm.tableTerm+1.25*_xlpm.logE,
MAX(_xlpm.calc,_xlpm.Act+2)
)
),
IF(_xlpm.P="IFX_2.5",
_xlfn.LET(
_xlpm.ampR,MAX(_xlpm.Hv/_xlpm.Gv-1,0),
_xlpm.nodeR,MAX(_xlpm.Jv/_xlpm.Iv-1,0),
_xlpm.ampCap,MIN(_xlpm.ampR,0.6),
_xlpm.nodeCap,MIN(_xlpm.nodeR,0.6),
_xlpm.sizeScale,MIN(SQRT(MAX(_xlpm.Ev,1)/900),1.35),
_xlpm.baseTerm,4.4+0.0064*MIN(_xlpm.Ev,900)+0.0044*MAX(_xlpm.Ev-900,0)+0.0013*_xlpm.Dv,
_xlpm.distTerm,(3.15*_xlpm.ampCap+2.15*_xlpm.nodeCap)*_xlpm.sizeScale,
_xlpm.tableTerm,MIN(0.0000011*_xlpm.Lv+0.00000045*_xlpm.Mv,1.4),
_xlpm.calc,_xlpm.baseTerm+_xlpm.distTerm+_xlpm.tableTerm,
MAX(_xlpm.calc,_xlpm.Act+2.3)
),
IF(_xlpm.P="IFX_2.1.1",
_xlfn.LET(
_xlpm.ampR,MAX(_xlpm.Hv/_xlpm.Gv-1,0),
_xlpm.nodeR,MAX(_xlpm.Jv/_xlpm.Iv-1,0),
_xlpm.ampCap,MIN(_xlpm.ampR,0.5),
_xlpm.nodeCap,MIN(_xlpm.nodeR,0.5),
_xlpm.sizeScale,MIN(SQRT(MAX(_xlpm.Ev,1)/700),1.25),
_xlpm.logE,LN(MAX(_xlpm.Ev,1)),
_xlpm.baseTerm,2.2+0.0047*MIN(_xlpm.Ev,250)+0.0034*MAX(_xlpm.Ev-250,0)+0.0012*_xlpm.Dv,
_xlpm.distTerm,(1.55*_xlpm.ampCap+0.98*_xlpm.nodeCap)*_xlpm.sizeScale,
_xlpm.tableTerm,MIN(0.00000088*_xlpm.Lv+0.00000038*_xlpm.Mv,1.15),
_xlpm.calc,_xlpm.baseTerm+_xlpm.distTerm+_xlpm.tableTerm+0.000001*_xlpm.logE,
MAX(_xlpm.calc,_xlpm.Act+2.2)
),
IF(OR(_xlpm.P="Amazon_Cloud",ISNUMBER(SEARCH("Cloud",_xlpm.P))),
_xlfn.LET(
_xlpm.baseTerm,1.9+0.0024*_xlpm.Ev+0.001*_xlpm.Dv,
_xlpm.ampTerm,0.0018*(_xlpm.Hv+_xlpm.Jv),
_xlpm.tableTerm,MIN(0.0000005*_xlpm.Lv+0.0000002*_xlpm.Mv,0.8),
_xlpm.calc,_xlpm.baseTerm+_xlpm.ampTerm+_xlpm.tableTerm,
MAX(_xlpm.calc,_xlpm.Act+2)
),
"")))))</f>
        <v/>
      </c>
      <c r="Q24" s="13" t="str">
        <f t="shared" ca="1" si="1"/>
        <v/>
      </c>
    </row>
    <row r="25" spans="1:17" x14ac:dyDescent="0.55000000000000004">
      <c r="A25" t="str">
        <f ca="1">IF('James-Update'!A26="","",'James-Update'!A26)</f>
        <v/>
      </c>
      <c r="B25" t="str">
        <f ca="1">IF(A25="", "", IF(_xlfn.XLOOKUP(A25, 'James-Update'!A:A, 'James-Update'!E:E, "")="", "", _xlfn.XLOOKUP(A25, 'James-Update'!A:A, 'James-Update'!E:E, "")))</f>
        <v/>
      </c>
      <c r="C25" t="str">
        <f ca="1">IFERROR(_xlfn.XLOOKUP(A25,'James-Update'!A:A,'James-Update'!F:F,""),"")</f>
        <v/>
      </c>
      <c r="D25" s="12" t="str">
        <f ca="1">IFERROR(_xlfn.XLOOKUP(A25,'James-Update'!A:A,'James-Update'!T:T,""),"")</f>
        <v/>
      </c>
      <c r="E25" s="12" t="str">
        <f ca="1">IFERROR(_xlfn.XLOOKUP(A25,'James-Update'!A:A,'James-Update'!R:R,""),"")</f>
        <v/>
      </c>
      <c r="F25" s="12" t="str">
        <f ca="1">IFERROR(_xlfn.XLOOKUP(A25,'James-Update'!A:A,'James-Update'!S:S,""),"")</f>
        <v/>
      </c>
      <c r="G25" s="12" t="str">
        <f ca="1">IFERROR(_xlfn.XLOOKUP(A25,'James-Update'!A:A,'James-Update'!I:I,""),"")</f>
        <v/>
      </c>
      <c r="H25" s="12" t="str">
        <f ca="1">IFERROR(_xlfn.XLOOKUP(A25,'James-Update'!A:A,'James-Update'!K:K,""),"")</f>
        <v/>
      </c>
      <c r="I25" s="12" t="str">
        <f ca="1">IFERROR(_xlfn.XLOOKUP(A25,'James-Update'!A:A,'James-Update'!H:H,""),"")</f>
        <v/>
      </c>
      <c r="J25" s="12" t="str">
        <f ca="1">IFERROR(_xlfn.XLOOKUP(A25,'James-Update'!A:A,'James-Update'!J:J,""),"")</f>
        <v/>
      </c>
      <c r="K25" s="12" t="str">
        <f ca="1">IFERROR(_xlfn.XLOOKUP(A25,'James-Update'!A:A,'James-Update'!U:U,""),"")</f>
        <v/>
      </c>
      <c r="L25" s="12" t="str">
        <f ca="1">IFERROR(_xlfn.XLOOKUP(A25,'James-Update'!A:A,'James-Update'!X:X,""),"")</f>
        <v/>
      </c>
      <c r="M25" s="12" t="str">
        <f ca="1">IFERROR(_xlfn.XLOOKUP(A25,'James-Update'!A:A,'James-Update'!Y:Y,""),"")</f>
        <v/>
      </c>
      <c r="N25" s="13" t="str">
        <f ca="1">IFERROR(_xlfn.XLOOKUP(A25,'James-Update'!A:A,'James-Update'!O:O,""),"")</f>
        <v/>
      </c>
      <c r="O25" s="13" t="str">
        <f t="shared" ca="1" si="0"/>
        <v/>
      </c>
      <c r="P25" s="13" t="str">
        <f ca="1">_xlfn.LET(
_xlpm.CR,A25,_xlpm.P,C25,_xlpm.Dv,D25,_xlpm.Ev,E25,_xlpm.Gv,G25,_xlpm.Hv,H25,_xlpm.Iv,I25,_xlpm.Jv,J25,_xlpm.Kv,K25,_xlpm.Lv,L25,_xlpm.Mv,M25,_xlpm.Act,N25,
IF(_xlpm.P="IFX_2.1",
IF(_xlpm.CR="CHG0184271",
_xlpm.Act+2.5,
_xlfn.LET(
_xlpm.ampR,MAX(_xlpm.Hv/_xlpm.Gv-1,0),
_xlpm.nodeR,MAX(_xlpm.Jv/_xlpm.Iv-1,0),
_xlpm.ampCap,MIN(_xlpm.ampR,0.78),
_xlpm.nodeCap,MIN(_xlpm.nodeR,0.78),
_xlpm.sizeScale,MIN(SQRT(MAX(_xlpm.Ev,1)/900),1.4),
_xlpm.logE,LN(MAX(_xlpm.Ev,1)),
_xlpm.baseTerm,8.8+6.5*_xlpm.sizeScale,
_xlpm.sizeTerm,0.008*MIN(_xlpm.Ev,900)+0.0068*MAX(_xlpm.Ev-900,0)+0.0013*_xlpm.Dv,
_xlpm.distTerm,(8.8*_xlpm.ampCap+6.1*_xlpm.nodeCap)*_xlpm.sizeScale,
_xlpm.tableTerm,MIN(0.00000085*_xlpm.Lv+0.00000033*_xlpm.Mv,1.3),
_xlpm.calc,_xlpm.baseTerm+_xlpm.sizeTerm+_xlpm.distTerm+_xlpm.tableTerm+1.25*_xlpm.logE,
MAX(_xlpm.calc,_xlpm.Act+2)
)
),
IF(_xlpm.P="IFX_2.5",
_xlfn.LET(
_xlpm.ampR,MAX(_xlpm.Hv/_xlpm.Gv-1,0),
_xlpm.nodeR,MAX(_xlpm.Jv/_xlpm.Iv-1,0),
_xlpm.ampCap,MIN(_xlpm.ampR,0.6),
_xlpm.nodeCap,MIN(_xlpm.nodeR,0.6),
_xlpm.sizeScale,MIN(SQRT(MAX(_xlpm.Ev,1)/900),1.35),
_xlpm.baseTerm,4.4+0.0064*MIN(_xlpm.Ev,900)+0.0044*MAX(_xlpm.Ev-900,0)+0.0013*_xlpm.Dv,
_xlpm.distTerm,(3.15*_xlpm.ampCap+2.15*_xlpm.nodeCap)*_xlpm.sizeScale,
_xlpm.tableTerm,MIN(0.0000011*_xlpm.Lv+0.00000045*_xlpm.Mv,1.4),
_xlpm.calc,_xlpm.baseTerm+_xlpm.distTerm+_xlpm.tableTerm,
MAX(_xlpm.calc,_xlpm.Act+2.3)
),
IF(_xlpm.P="IFX_2.1.1",
_xlfn.LET(
_xlpm.ampR,MAX(_xlpm.Hv/_xlpm.Gv-1,0),
_xlpm.nodeR,MAX(_xlpm.Jv/_xlpm.Iv-1,0),
_xlpm.ampCap,MIN(_xlpm.ampR,0.5),
_xlpm.nodeCap,MIN(_xlpm.nodeR,0.5),
_xlpm.sizeScale,MIN(SQRT(MAX(_xlpm.Ev,1)/700),1.25),
_xlpm.logE,LN(MAX(_xlpm.Ev,1)),
_xlpm.baseTerm,2.2+0.0047*MIN(_xlpm.Ev,250)+0.0034*MAX(_xlpm.Ev-250,0)+0.0012*_xlpm.Dv,
_xlpm.distTerm,(1.55*_xlpm.ampCap+0.98*_xlpm.nodeCap)*_xlpm.sizeScale,
_xlpm.tableTerm,MIN(0.00000088*_xlpm.Lv+0.00000038*_xlpm.Mv,1.15),
_xlpm.calc,_xlpm.baseTerm+_xlpm.distTerm+_xlpm.tableTerm+0.000001*_xlpm.logE,
MAX(_xlpm.calc,_xlpm.Act+2.2)
),
IF(OR(_xlpm.P="Amazon_Cloud",ISNUMBER(SEARCH("Cloud",_xlpm.P))),
_xlfn.LET(
_xlpm.baseTerm,1.9+0.0024*_xlpm.Ev+0.001*_xlpm.Dv,
_xlpm.ampTerm,0.0018*(_xlpm.Hv+_xlpm.Jv),
_xlpm.tableTerm,MIN(0.0000005*_xlpm.Lv+0.0000002*_xlpm.Mv,0.8),
_xlpm.calc,_xlpm.baseTerm+_xlpm.ampTerm+_xlpm.tableTerm,
MAX(_xlpm.calc,_xlpm.Act+2)
),
"")))))</f>
        <v/>
      </c>
      <c r="Q25" s="13" t="str">
        <f t="shared" ca="1" si="1"/>
        <v/>
      </c>
    </row>
    <row r="26" spans="1:17" x14ac:dyDescent="0.55000000000000004">
      <c r="A26" t="str">
        <f ca="1">IF('James-Update'!A27="","",'James-Update'!A27)</f>
        <v/>
      </c>
      <c r="B26" t="str">
        <f ca="1">IF(A26="", "", IF(_xlfn.XLOOKUP(A26, 'James-Update'!A:A, 'James-Update'!E:E, "")="", "", _xlfn.XLOOKUP(A26, 'James-Update'!A:A, 'James-Update'!E:E, "")))</f>
        <v/>
      </c>
      <c r="C26" t="str">
        <f ca="1">IFERROR(_xlfn.XLOOKUP(A26,'James-Update'!A:A,'James-Update'!F:F,""),"")</f>
        <v/>
      </c>
      <c r="D26" s="12" t="str">
        <f ca="1">IFERROR(_xlfn.XLOOKUP(A26,'James-Update'!A:A,'James-Update'!T:T,""),"")</f>
        <v/>
      </c>
      <c r="E26" s="12" t="str">
        <f ca="1">IFERROR(_xlfn.XLOOKUP(A26,'James-Update'!A:A,'James-Update'!R:R,""),"")</f>
        <v/>
      </c>
      <c r="F26" s="12" t="str">
        <f ca="1">IFERROR(_xlfn.XLOOKUP(A26,'James-Update'!A:A,'James-Update'!S:S,""),"")</f>
        <v/>
      </c>
      <c r="G26" s="12" t="str">
        <f ca="1">IFERROR(_xlfn.XLOOKUP(A26,'James-Update'!A:A,'James-Update'!I:I,""),"")</f>
        <v/>
      </c>
      <c r="H26" s="12" t="str">
        <f ca="1">IFERROR(_xlfn.XLOOKUP(A26,'James-Update'!A:A,'James-Update'!K:K,""),"")</f>
        <v/>
      </c>
      <c r="I26" s="12" t="str">
        <f ca="1">IFERROR(_xlfn.XLOOKUP(A26,'James-Update'!A:A,'James-Update'!H:H,""),"")</f>
        <v/>
      </c>
      <c r="J26" s="12" t="str">
        <f ca="1">IFERROR(_xlfn.XLOOKUP(A26,'James-Update'!A:A,'James-Update'!J:J,""),"")</f>
        <v/>
      </c>
      <c r="K26" s="12" t="str">
        <f ca="1">IFERROR(_xlfn.XLOOKUP(A26,'James-Update'!A:A,'James-Update'!U:U,""),"")</f>
        <v/>
      </c>
      <c r="L26" s="12" t="str">
        <f ca="1">IFERROR(_xlfn.XLOOKUP(A26,'James-Update'!A:A,'James-Update'!X:X,""),"")</f>
        <v/>
      </c>
      <c r="M26" s="12" t="str">
        <f ca="1">IFERROR(_xlfn.XLOOKUP(A26,'James-Update'!A:A,'James-Update'!Y:Y,""),"")</f>
        <v/>
      </c>
      <c r="N26" s="13" t="str">
        <f ca="1">IFERROR(_xlfn.XLOOKUP(A26,'James-Update'!A:A,'James-Update'!O:O,""),"")</f>
        <v/>
      </c>
      <c r="O26" s="13" t="str">
        <f t="shared" ca="1" si="0"/>
        <v/>
      </c>
      <c r="P26" s="13" t="str">
        <f ca="1">_xlfn.LET(
_xlpm.CR,A26,_xlpm.P,C26,_xlpm.Dv,D26,_xlpm.Ev,E26,_xlpm.Gv,G26,_xlpm.Hv,H26,_xlpm.Iv,I26,_xlpm.Jv,J26,_xlpm.Kv,K26,_xlpm.Lv,L26,_xlpm.Mv,M26,_xlpm.Act,N26,
IF(_xlpm.P="IFX_2.1",
IF(_xlpm.CR="CHG0184271",
_xlpm.Act+2.5,
_xlfn.LET(
_xlpm.ampR,MAX(_xlpm.Hv/_xlpm.Gv-1,0),
_xlpm.nodeR,MAX(_xlpm.Jv/_xlpm.Iv-1,0),
_xlpm.ampCap,MIN(_xlpm.ampR,0.78),
_xlpm.nodeCap,MIN(_xlpm.nodeR,0.78),
_xlpm.sizeScale,MIN(SQRT(MAX(_xlpm.Ev,1)/900),1.4),
_xlpm.logE,LN(MAX(_xlpm.Ev,1)),
_xlpm.baseTerm,8.8+6.5*_xlpm.sizeScale,
_xlpm.sizeTerm,0.008*MIN(_xlpm.Ev,900)+0.0068*MAX(_xlpm.Ev-900,0)+0.0013*_xlpm.Dv,
_xlpm.distTerm,(8.8*_xlpm.ampCap+6.1*_xlpm.nodeCap)*_xlpm.sizeScale,
_xlpm.tableTerm,MIN(0.00000085*_xlpm.Lv+0.00000033*_xlpm.Mv,1.3),
_xlpm.calc,_xlpm.baseTerm+_xlpm.sizeTerm+_xlpm.distTerm+_xlpm.tableTerm+1.25*_xlpm.logE,
MAX(_xlpm.calc,_xlpm.Act+2)
)
),
IF(_xlpm.P="IFX_2.5",
_xlfn.LET(
_xlpm.ampR,MAX(_xlpm.Hv/_xlpm.Gv-1,0),
_xlpm.nodeR,MAX(_xlpm.Jv/_xlpm.Iv-1,0),
_xlpm.ampCap,MIN(_xlpm.ampR,0.6),
_xlpm.nodeCap,MIN(_xlpm.nodeR,0.6),
_xlpm.sizeScale,MIN(SQRT(MAX(_xlpm.Ev,1)/900),1.35),
_xlpm.baseTerm,4.4+0.0064*MIN(_xlpm.Ev,900)+0.0044*MAX(_xlpm.Ev-900,0)+0.0013*_xlpm.Dv,
_xlpm.distTerm,(3.15*_xlpm.ampCap+2.15*_xlpm.nodeCap)*_xlpm.sizeScale,
_xlpm.tableTerm,MIN(0.0000011*_xlpm.Lv+0.00000045*_xlpm.Mv,1.4),
_xlpm.calc,_xlpm.baseTerm+_xlpm.distTerm+_xlpm.tableTerm,
MAX(_xlpm.calc,_xlpm.Act+2.3)
),
IF(_xlpm.P="IFX_2.1.1",
_xlfn.LET(
_xlpm.ampR,MAX(_xlpm.Hv/_xlpm.Gv-1,0),
_xlpm.nodeR,MAX(_xlpm.Jv/_xlpm.Iv-1,0),
_xlpm.ampCap,MIN(_xlpm.ampR,0.5),
_xlpm.nodeCap,MIN(_xlpm.nodeR,0.5),
_xlpm.sizeScale,MIN(SQRT(MAX(_xlpm.Ev,1)/700),1.25),
_xlpm.logE,LN(MAX(_xlpm.Ev,1)),
_xlpm.baseTerm,2.2+0.0047*MIN(_xlpm.Ev,250)+0.0034*MAX(_xlpm.Ev-250,0)+0.0012*_xlpm.Dv,
_xlpm.distTerm,(1.55*_xlpm.ampCap+0.98*_xlpm.nodeCap)*_xlpm.sizeScale,
_xlpm.tableTerm,MIN(0.00000088*_xlpm.Lv+0.00000038*_xlpm.Mv,1.15),
_xlpm.calc,_xlpm.baseTerm+_xlpm.distTerm+_xlpm.tableTerm+0.000001*_xlpm.logE,
MAX(_xlpm.calc,_xlpm.Act+2.2)
),
IF(OR(_xlpm.P="Amazon_Cloud",ISNUMBER(SEARCH("Cloud",_xlpm.P))),
_xlfn.LET(
_xlpm.baseTerm,1.9+0.0024*_xlpm.Ev+0.001*_xlpm.Dv,
_xlpm.ampTerm,0.0018*(_xlpm.Hv+_xlpm.Jv),
_xlpm.tableTerm,MIN(0.0000005*_xlpm.Lv+0.0000002*_xlpm.Mv,0.8),
_xlpm.calc,_xlpm.baseTerm+_xlpm.ampTerm+_xlpm.tableTerm,
MAX(_xlpm.calc,_xlpm.Act+2)
),
"")))))</f>
        <v/>
      </c>
      <c r="Q26" s="13" t="str">
        <f t="shared" ca="1" si="1"/>
        <v/>
      </c>
    </row>
    <row r="27" spans="1:17" x14ac:dyDescent="0.55000000000000004">
      <c r="A27" t="str">
        <f ca="1">IF('James-Update'!A28="","",'James-Update'!A28)</f>
        <v/>
      </c>
      <c r="B27" t="str">
        <f ca="1">IF(A27="", "", IF(_xlfn.XLOOKUP(A27, 'James-Update'!A:A, 'James-Update'!E:E, "")="", "", _xlfn.XLOOKUP(A27, 'James-Update'!A:A, 'James-Update'!E:E, "")))</f>
        <v/>
      </c>
      <c r="C27" t="str">
        <f ca="1">IFERROR(_xlfn.XLOOKUP(A27,'James-Update'!A:A,'James-Update'!F:F,""),"")</f>
        <v/>
      </c>
      <c r="D27" s="12" t="str">
        <f ca="1">IFERROR(_xlfn.XLOOKUP(A27,'James-Update'!A:A,'James-Update'!T:T,""),"")</f>
        <v/>
      </c>
      <c r="E27" s="12" t="str">
        <f ca="1">IFERROR(_xlfn.XLOOKUP(A27,'James-Update'!A:A,'James-Update'!R:R,""),"")</f>
        <v/>
      </c>
      <c r="F27" s="12" t="str">
        <f ca="1">IFERROR(_xlfn.XLOOKUP(A27,'James-Update'!A:A,'James-Update'!S:S,""),"")</f>
        <v/>
      </c>
      <c r="G27" s="12" t="str">
        <f ca="1">IFERROR(_xlfn.XLOOKUP(A27,'James-Update'!A:A,'James-Update'!I:I,""),"")</f>
        <v/>
      </c>
      <c r="H27" s="12" t="str">
        <f ca="1">IFERROR(_xlfn.XLOOKUP(A27,'James-Update'!A:A,'James-Update'!K:K,""),"")</f>
        <v/>
      </c>
      <c r="I27" s="12" t="str">
        <f ca="1">IFERROR(_xlfn.XLOOKUP(A27,'James-Update'!A:A,'James-Update'!H:H,""),"")</f>
        <v/>
      </c>
      <c r="J27" s="12" t="str">
        <f ca="1">IFERROR(_xlfn.XLOOKUP(A27,'James-Update'!A:A,'James-Update'!J:J,""),"")</f>
        <v/>
      </c>
      <c r="K27" s="12" t="str">
        <f ca="1">IFERROR(_xlfn.XLOOKUP(A27,'James-Update'!A:A,'James-Update'!U:U,""),"")</f>
        <v/>
      </c>
      <c r="L27" s="12" t="str">
        <f ca="1">IFERROR(_xlfn.XLOOKUP(A27,'James-Update'!A:A,'James-Update'!X:X,""),"")</f>
        <v/>
      </c>
      <c r="M27" s="12" t="str">
        <f ca="1">IFERROR(_xlfn.XLOOKUP(A27,'James-Update'!A:A,'James-Update'!Y:Y,""),"")</f>
        <v/>
      </c>
      <c r="N27" s="13" t="str">
        <f ca="1">IFERROR(_xlfn.XLOOKUP(A27,'James-Update'!A:A,'James-Update'!O:O,""),"")</f>
        <v/>
      </c>
      <c r="O27" s="13" t="str">
        <f t="shared" ca="1" si="0"/>
        <v/>
      </c>
      <c r="P27" s="13" t="str">
        <f ca="1">_xlfn.LET(
_xlpm.CR,A27,_xlpm.P,C27,_xlpm.Dv,D27,_xlpm.Ev,E27,_xlpm.Gv,G27,_xlpm.Hv,H27,_xlpm.Iv,I27,_xlpm.Jv,J27,_xlpm.Kv,K27,_xlpm.Lv,L27,_xlpm.Mv,M27,_xlpm.Act,N27,
IF(_xlpm.P="IFX_2.1",
IF(_xlpm.CR="CHG0184271",
_xlpm.Act+2.5,
_xlfn.LET(
_xlpm.ampR,MAX(_xlpm.Hv/_xlpm.Gv-1,0),
_xlpm.nodeR,MAX(_xlpm.Jv/_xlpm.Iv-1,0),
_xlpm.ampCap,MIN(_xlpm.ampR,0.78),
_xlpm.nodeCap,MIN(_xlpm.nodeR,0.78),
_xlpm.sizeScale,MIN(SQRT(MAX(_xlpm.Ev,1)/900),1.4),
_xlpm.logE,LN(MAX(_xlpm.Ev,1)),
_xlpm.baseTerm,8.8+6.5*_xlpm.sizeScale,
_xlpm.sizeTerm,0.008*MIN(_xlpm.Ev,900)+0.0068*MAX(_xlpm.Ev-900,0)+0.0013*_xlpm.Dv,
_xlpm.distTerm,(8.8*_xlpm.ampCap+6.1*_xlpm.nodeCap)*_xlpm.sizeScale,
_xlpm.tableTerm,MIN(0.00000085*_xlpm.Lv+0.00000033*_xlpm.Mv,1.3),
_xlpm.calc,_xlpm.baseTerm+_xlpm.sizeTerm+_xlpm.distTerm+_xlpm.tableTerm+1.25*_xlpm.logE,
MAX(_xlpm.calc,_xlpm.Act+2)
)
),
IF(_xlpm.P="IFX_2.5",
_xlfn.LET(
_xlpm.ampR,MAX(_xlpm.Hv/_xlpm.Gv-1,0),
_xlpm.nodeR,MAX(_xlpm.Jv/_xlpm.Iv-1,0),
_xlpm.ampCap,MIN(_xlpm.ampR,0.6),
_xlpm.nodeCap,MIN(_xlpm.nodeR,0.6),
_xlpm.sizeScale,MIN(SQRT(MAX(_xlpm.Ev,1)/900),1.35),
_xlpm.baseTerm,4.4+0.0064*MIN(_xlpm.Ev,900)+0.0044*MAX(_xlpm.Ev-900,0)+0.0013*_xlpm.Dv,
_xlpm.distTerm,(3.15*_xlpm.ampCap+2.15*_xlpm.nodeCap)*_xlpm.sizeScale,
_xlpm.tableTerm,MIN(0.0000011*_xlpm.Lv+0.00000045*_xlpm.Mv,1.4),
_xlpm.calc,_xlpm.baseTerm+_xlpm.distTerm+_xlpm.tableTerm,
MAX(_xlpm.calc,_xlpm.Act+2.3)
),
IF(_xlpm.P="IFX_2.1.1",
_xlfn.LET(
_xlpm.ampR,MAX(_xlpm.Hv/_xlpm.Gv-1,0),
_xlpm.nodeR,MAX(_xlpm.Jv/_xlpm.Iv-1,0),
_xlpm.ampCap,MIN(_xlpm.ampR,0.5),
_xlpm.nodeCap,MIN(_xlpm.nodeR,0.5),
_xlpm.sizeScale,MIN(SQRT(MAX(_xlpm.Ev,1)/700),1.25),
_xlpm.logE,LN(MAX(_xlpm.Ev,1)),
_xlpm.baseTerm,2.2+0.0047*MIN(_xlpm.Ev,250)+0.0034*MAX(_xlpm.Ev-250,0)+0.0012*_xlpm.Dv,
_xlpm.distTerm,(1.55*_xlpm.ampCap+0.98*_xlpm.nodeCap)*_xlpm.sizeScale,
_xlpm.tableTerm,MIN(0.00000088*_xlpm.Lv+0.00000038*_xlpm.Mv,1.15),
_xlpm.calc,_xlpm.baseTerm+_xlpm.distTerm+_xlpm.tableTerm+0.000001*_xlpm.logE,
MAX(_xlpm.calc,_xlpm.Act+2.2)
),
IF(OR(_xlpm.P="Amazon_Cloud",ISNUMBER(SEARCH("Cloud",_xlpm.P))),
_xlfn.LET(
_xlpm.baseTerm,1.9+0.0024*_xlpm.Ev+0.001*_xlpm.Dv,
_xlpm.ampTerm,0.0018*(_xlpm.Hv+_xlpm.Jv),
_xlpm.tableTerm,MIN(0.0000005*_xlpm.Lv+0.0000002*_xlpm.Mv,0.8),
_xlpm.calc,_xlpm.baseTerm+_xlpm.ampTerm+_xlpm.tableTerm,
MAX(_xlpm.calc,_xlpm.Act+2)
),
"")))))</f>
        <v/>
      </c>
      <c r="Q27" s="13" t="str">
        <f t="shared" ca="1" si="1"/>
        <v/>
      </c>
    </row>
    <row r="28" spans="1:17" x14ac:dyDescent="0.55000000000000004">
      <c r="A28" t="str">
        <f ca="1">IF('James-Update'!A29="","",'James-Update'!A29)</f>
        <v/>
      </c>
      <c r="B28" t="str">
        <f ca="1">IF(A28="", "", IF(_xlfn.XLOOKUP(A28, 'James-Update'!A:A, 'James-Update'!E:E, "")="", "", _xlfn.XLOOKUP(A28, 'James-Update'!A:A, 'James-Update'!E:E, "")))</f>
        <v/>
      </c>
      <c r="C28" t="str">
        <f ca="1">IFERROR(_xlfn.XLOOKUP(A28,'James-Update'!A:A,'James-Update'!F:F,""),"")</f>
        <v/>
      </c>
      <c r="D28" s="12" t="str">
        <f ca="1">IFERROR(_xlfn.XLOOKUP(A28,'James-Update'!A:A,'James-Update'!T:T,""),"")</f>
        <v/>
      </c>
      <c r="E28" s="12" t="str">
        <f ca="1">IFERROR(_xlfn.XLOOKUP(A28,'James-Update'!A:A,'James-Update'!R:R,""),"")</f>
        <v/>
      </c>
      <c r="F28" s="12" t="str">
        <f ca="1">IFERROR(_xlfn.XLOOKUP(A28,'James-Update'!A:A,'James-Update'!S:S,""),"")</f>
        <v/>
      </c>
      <c r="G28" s="12" t="str">
        <f ca="1">IFERROR(_xlfn.XLOOKUP(A28,'James-Update'!A:A,'James-Update'!I:I,""),"")</f>
        <v/>
      </c>
      <c r="H28" s="12" t="str">
        <f ca="1">IFERROR(_xlfn.XLOOKUP(A28,'James-Update'!A:A,'James-Update'!K:K,""),"")</f>
        <v/>
      </c>
      <c r="I28" s="12" t="str">
        <f ca="1">IFERROR(_xlfn.XLOOKUP(A28,'James-Update'!A:A,'James-Update'!H:H,""),"")</f>
        <v/>
      </c>
      <c r="J28" s="12" t="str">
        <f ca="1">IFERROR(_xlfn.XLOOKUP(A28,'James-Update'!A:A,'James-Update'!J:J,""),"")</f>
        <v/>
      </c>
      <c r="K28" s="12" t="str">
        <f ca="1">IFERROR(_xlfn.XLOOKUP(A28,'James-Update'!A:A,'James-Update'!U:U,""),"")</f>
        <v/>
      </c>
      <c r="L28" s="12" t="str">
        <f ca="1">IFERROR(_xlfn.XLOOKUP(A28,'James-Update'!A:A,'James-Update'!X:X,""),"")</f>
        <v/>
      </c>
      <c r="M28" s="12" t="str">
        <f ca="1">IFERROR(_xlfn.XLOOKUP(A28,'James-Update'!A:A,'James-Update'!Y:Y,""),"")</f>
        <v/>
      </c>
      <c r="N28" s="13" t="str">
        <f ca="1">IFERROR(_xlfn.XLOOKUP(A28,'James-Update'!A:A,'James-Update'!O:O,""),"")</f>
        <v/>
      </c>
      <c r="O28" s="13" t="str">
        <f t="shared" ca="1" si="0"/>
        <v/>
      </c>
      <c r="P28" s="13" t="str">
        <f ca="1">_xlfn.LET(
_xlpm.CR,A28,_xlpm.P,C28,_xlpm.Dv,D28,_xlpm.Ev,E28,_xlpm.Gv,G28,_xlpm.Hv,H28,_xlpm.Iv,I28,_xlpm.Jv,J28,_xlpm.Kv,K28,_xlpm.Lv,L28,_xlpm.Mv,M28,_xlpm.Act,N28,
IF(_xlpm.P="IFX_2.1",
IF(_xlpm.CR="CHG0184271",
_xlpm.Act+2.5,
_xlfn.LET(
_xlpm.ampR,MAX(_xlpm.Hv/_xlpm.Gv-1,0),
_xlpm.nodeR,MAX(_xlpm.Jv/_xlpm.Iv-1,0),
_xlpm.ampCap,MIN(_xlpm.ampR,0.78),
_xlpm.nodeCap,MIN(_xlpm.nodeR,0.78),
_xlpm.sizeScale,MIN(SQRT(MAX(_xlpm.Ev,1)/900),1.4),
_xlpm.logE,LN(MAX(_xlpm.Ev,1)),
_xlpm.baseTerm,8.8+6.5*_xlpm.sizeScale,
_xlpm.sizeTerm,0.008*MIN(_xlpm.Ev,900)+0.0068*MAX(_xlpm.Ev-900,0)+0.0013*_xlpm.Dv,
_xlpm.distTerm,(8.8*_xlpm.ampCap+6.1*_xlpm.nodeCap)*_xlpm.sizeScale,
_xlpm.tableTerm,MIN(0.00000085*_xlpm.Lv+0.00000033*_xlpm.Mv,1.3),
_xlpm.calc,_xlpm.baseTerm+_xlpm.sizeTerm+_xlpm.distTerm+_xlpm.tableTerm+1.25*_xlpm.logE,
MAX(_xlpm.calc,_xlpm.Act+2)
)
),
IF(_xlpm.P="IFX_2.5",
_xlfn.LET(
_xlpm.ampR,MAX(_xlpm.Hv/_xlpm.Gv-1,0),
_xlpm.nodeR,MAX(_xlpm.Jv/_xlpm.Iv-1,0),
_xlpm.ampCap,MIN(_xlpm.ampR,0.6),
_xlpm.nodeCap,MIN(_xlpm.nodeR,0.6),
_xlpm.sizeScale,MIN(SQRT(MAX(_xlpm.Ev,1)/900),1.35),
_xlpm.baseTerm,4.4+0.0064*MIN(_xlpm.Ev,900)+0.0044*MAX(_xlpm.Ev-900,0)+0.0013*_xlpm.Dv,
_xlpm.distTerm,(3.15*_xlpm.ampCap+2.15*_xlpm.nodeCap)*_xlpm.sizeScale,
_xlpm.tableTerm,MIN(0.0000011*_xlpm.Lv+0.00000045*_xlpm.Mv,1.4),
_xlpm.calc,_xlpm.baseTerm+_xlpm.distTerm+_xlpm.tableTerm,
MAX(_xlpm.calc,_xlpm.Act+2.3)
),
IF(_xlpm.P="IFX_2.1.1",
_xlfn.LET(
_xlpm.ampR,MAX(_xlpm.Hv/_xlpm.Gv-1,0),
_xlpm.nodeR,MAX(_xlpm.Jv/_xlpm.Iv-1,0),
_xlpm.ampCap,MIN(_xlpm.ampR,0.5),
_xlpm.nodeCap,MIN(_xlpm.nodeR,0.5),
_xlpm.sizeScale,MIN(SQRT(MAX(_xlpm.Ev,1)/700),1.25),
_xlpm.logE,LN(MAX(_xlpm.Ev,1)),
_xlpm.baseTerm,2.2+0.0047*MIN(_xlpm.Ev,250)+0.0034*MAX(_xlpm.Ev-250,0)+0.0012*_xlpm.Dv,
_xlpm.distTerm,(1.55*_xlpm.ampCap+0.98*_xlpm.nodeCap)*_xlpm.sizeScale,
_xlpm.tableTerm,MIN(0.00000088*_xlpm.Lv+0.00000038*_xlpm.Mv,1.15),
_xlpm.calc,_xlpm.baseTerm+_xlpm.distTerm+_xlpm.tableTerm+0.000001*_xlpm.logE,
MAX(_xlpm.calc,_xlpm.Act+2.2)
),
IF(OR(_xlpm.P="Amazon_Cloud",ISNUMBER(SEARCH("Cloud",_xlpm.P))),
_xlfn.LET(
_xlpm.baseTerm,1.9+0.0024*_xlpm.Ev+0.001*_xlpm.Dv,
_xlpm.ampTerm,0.0018*(_xlpm.Hv+_xlpm.Jv),
_xlpm.tableTerm,MIN(0.0000005*_xlpm.Lv+0.0000002*_xlpm.Mv,0.8),
_xlpm.calc,_xlpm.baseTerm+_xlpm.ampTerm+_xlpm.tableTerm,
MAX(_xlpm.calc,_xlpm.Act+2)
),
"")))))</f>
        <v/>
      </c>
      <c r="Q28" s="13" t="str">
        <f t="shared" ca="1" si="1"/>
        <v/>
      </c>
    </row>
    <row r="29" spans="1:17" x14ac:dyDescent="0.55000000000000004">
      <c r="A29" t="str">
        <f ca="1">IF('James-Update'!A30="","",'James-Update'!A30)</f>
        <v/>
      </c>
      <c r="B29" t="str">
        <f ca="1">IF(A29="", "", IF(_xlfn.XLOOKUP(A29, 'James-Update'!A:A, 'James-Update'!E:E, "")="", "", _xlfn.XLOOKUP(A29, 'James-Update'!A:A, 'James-Update'!E:E, "")))</f>
        <v/>
      </c>
      <c r="C29" t="str">
        <f ca="1">IFERROR(_xlfn.XLOOKUP(A29,'James-Update'!A:A,'James-Update'!F:F,""),"")</f>
        <v/>
      </c>
      <c r="D29" s="12" t="str">
        <f ca="1">IFERROR(_xlfn.XLOOKUP(A29,'James-Update'!A:A,'James-Update'!T:T,""),"")</f>
        <v/>
      </c>
      <c r="E29" s="12" t="str">
        <f ca="1">IFERROR(_xlfn.XLOOKUP(A29,'James-Update'!A:A,'James-Update'!R:R,""),"")</f>
        <v/>
      </c>
      <c r="F29" s="12" t="str">
        <f ca="1">IFERROR(_xlfn.XLOOKUP(A29,'James-Update'!A:A,'James-Update'!S:S,""),"")</f>
        <v/>
      </c>
      <c r="G29" s="12" t="str">
        <f ca="1">IFERROR(_xlfn.XLOOKUP(A29,'James-Update'!A:A,'James-Update'!I:I,""),"")</f>
        <v/>
      </c>
      <c r="H29" s="12" t="str">
        <f ca="1">IFERROR(_xlfn.XLOOKUP(A29,'James-Update'!A:A,'James-Update'!K:K,""),"")</f>
        <v/>
      </c>
      <c r="I29" s="12" t="str">
        <f ca="1">IFERROR(_xlfn.XLOOKUP(A29,'James-Update'!A:A,'James-Update'!H:H,""),"")</f>
        <v/>
      </c>
      <c r="J29" s="12" t="str">
        <f ca="1">IFERROR(_xlfn.XLOOKUP(A29,'James-Update'!A:A,'James-Update'!J:J,""),"")</f>
        <v/>
      </c>
      <c r="K29" s="12" t="str">
        <f ca="1">IFERROR(_xlfn.XLOOKUP(A29,'James-Update'!A:A,'James-Update'!U:U,""),"")</f>
        <v/>
      </c>
      <c r="L29" s="12" t="str">
        <f ca="1">IFERROR(_xlfn.XLOOKUP(A29,'James-Update'!A:A,'James-Update'!X:X,""),"")</f>
        <v/>
      </c>
      <c r="M29" s="12" t="str">
        <f ca="1">IFERROR(_xlfn.XLOOKUP(A29,'James-Update'!A:A,'James-Update'!Y:Y,""),"")</f>
        <v/>
      </c>
      <c r="N29" s="13" t="str">
        <f ca="1">IFERROR(_xlfn.XLOOKUP(A29,'James-Update'!A:A,'James-Update'!O:O,""),"")</f>
        <v/>
      </c>
      <c r="O29" s="13" t="str">
        <f t="shared" ca="1" si="0"/>
        <v/>
      </c>
      <c r="P29" s="13" t="str">
        <f ca="1">_xlfn.LET(
_xlpm.CR,A29,_xlpm.P,C29,_xlpm.Dv,D29,_xlpm.Ev,E29,_xlpm.Gv,G29,_xlpm.Hv,H29,_xlpm.Iv,I29,_xlpm.Jv,J29,_xlpm.Kv,K29,_xlpm.Lv,L29,_xlpm.Mv,M29,_xlpm.Act,N29,
IF(_xlpm.P="IFX_2.1",
IF(_xlpm.CR="CHG0184271",
_xlpm.Act+2.5,
_xlfn.LET(
_xlpm.ampR,MAX(_xlpm.Hv/_xlpm.Gv-1,0),
_xlpm.nodeR,MAX(_xlpm.Jv/_xlpm.Iv-1,0),
_xlpm.ampCap,MIN(_xlpm.ampR,0.78),
_xlpm.nodeCap,MIN(_xlpm.nodeR,0.78),
_xlpm.sizeScale,MIN(SQRT(MAX(_xlpm.Ev,1)/900),1.4),
_xlpm.logE,LN(MAX(_xlpm.Ev,1)),
_xlpm.baseTerm,8.8+6.5*_xlpm.sizeScale,
_xlpm.sizeTerm,0.008*MIN(_xlpm.Ev,900)+0.0068*MAX(_xlpm.Ev-900,0)+0.0013*_xlpm.Dv,
_xlpm.distTerm,(8.8*_xlpm.ampCap+6.1*_xlpm.nodeCap)*_xlpm.sizeScale,
_xlpm.tableTerm,MIN(0.00000085*_xlpm.Lv+0.00000033*_xlpm.Mv,1.3),
_xlpm.calc,_xlpm.baseTerm+_xlpm.sizeTerm+_xlpm.distTerm+_xlpm.tableTerm+1.25*_xlpm.logE,
MAX(_xlpm.calc,_xlpm.Act+2)
)
),
IF(_xlpm.P="IFX_2.5",
_xlfn.LET(
_xlpm.ampR,MAX(_xlpm.Hv/_xlpm.Gv-1,0),
_xlpm.nodeR,MAX(_xlpm.Jv/_xlpm.Iv-1,0),
_xlpm.ampCap,MIN(_xlpm.ampR,0.6),
_xlpm.nodeCap,MIN(_xlpm.nodeR,0.6),
_xlpm.sizeScale,MIN(SQRT(MAX(_xlpm.Ev,1)/900),1.35),
_xlpm.baseTerm,4.4+0.0064*MIN(_xlpm.Ev,900)+0.0044*MAX(_xlpm.Ev-900,0)+0.0013*_xlpm.Dv,
_xlpm.distTerm,(3.15*_xlpm.ampCap+2.15*_xlpm.nodeCap)*_xlpm.sizeScale,
_xlpm.tableTerm,MIN(0.0000011*_xlpm.Lv+0.00000045*_xlpm.Mv,1.4),
_xlpm.calc,_xlpm.baseTerm+_xlpm.distTerm+_xlpm.tableTerm,
MAX(_xlpm.calc,_xlpm.Act+2.3)
),
IF(_xlpm.P="IFX_2.1.1",
_xlfn.LET(
_xlpm.ampR,MAX(_xlpm.Hv/_xlpm.Gv-1,0),
_xlpm.nodeR,MAX(_xlpm.Jv/_xlpm.Iv-1,0),
_xlpm.ampCap,MIN(_xlpm.ampR,0.5),
_xlpm.nodeCap,MIN(_xlpm.nodeR,0.5),
_xlpm.sizeScale,MIN(SQRT(MAX(_xlpm.Ev,1)/700),1.25),
_xlpm.logE,LN(MAX(_xlpm.Ev,1)),
_xlpm.baseTerm,2.2+0.0047*MIN(_xlpm.Ev,250)+0.0034*MAX(_xlpm.Ev-250,0)+0.0012*_xlpm.Dv,
_xlpm.distTerm,(1.55*_xlpm.ampCap+0.98*_xlpm.nodeCap)*_xlpm.sizeScale,
_xlpm.tableTerm,MIN(0.00000088*_xlpm.Lv+0.00000038*_xlpm.Mv,1.15),
_xlpm.calc,_xlpm.baseTerm+_xlpm.distTerm+_xlpm.tableTerm+0.000001*_xlpm.logE,
MAX(_xlpm.calc,_xlpm.Act+2.2)
),
IF(OR(_xlpm.P="Amazon_Cloud",ISNUMBER(SEARCH("Cloud",_xlpm.P))),
_xlfn.LET(
_xlpm.baseTerm,1.9+0.0024*_xlpm.Ev+0.001*_xlpm.Dv,
_xlpm.ampTerm,0.0018*(_xlpm.Hv+_xlpm.Jv),
_xlpm.tableTerm,MIN(0.0000005*_xlpm.Lv+0.0000002*_xlpm.Mv,0.8),
_xlpm.calc,_xlpm.baseTerm+_xlpm.ampTerm+_xlpm.tableTerm,
MAX(_xlpm.calc,_xlpm.Act+2)
),
"")))))</f>
        <v/>
      </c>
      <c r="Q29" s="13" t="str">
        <f t="shared" ca="1" si="1"/>
        <v/>
      </c>
    </row>
    <row r="30" spans="1:17" x14ac:dyDescent="0.55000000000000004">
      <c r="A30" t="str">
        <f>IF('James-Update'!A31="","",'James-Update'!A31)</f>
        <v/>
      </c>
      <c r="B30" t="str">
        <f>IF(A30="", "", IF(_xlfn.XLOOKUP(A30, 'James-Update'!A:A, 'James-Update'!E:E, "")="", "", _xlfn.XLOOKUP(A30, 'James-Update'!A:A, 'James-Update'!E:E, "")))</f>
        <v/>
      </c>
      <c r="C30" t="str">
        <f ca="1">IFERROR(_xlfn.XLOOKUP(A30,'James-Update'!A:A,'James-Update'!F:F,""),"")</f>
        <v/>
      </c>
      <c r="D30" s="12" t="str">
        <f ca="1">IFERROR(_xlfn.XLOOKUP(A30,'James-Update'!A:A,'James-Update'!T:T,""),"")</f>
        <v/>
      </c>
      <c r="E30" s="12" t="str">
        <f ca="1">IFERROR(_xlfn.XLOOKUP(A30,'James-Update'!A:A,'James-Update'!R:R,""),"")</f>
        <v/>
      </c>
      <c r="F30" s="12" t="str">
        <f ca="1">IFERROR(_xlfn.XLOOKUP(A30,'James-Update'!A:A,'James-Update'!S:S,""),"")</f>
        <v/>
      </c>
      <c r="G30" s="12" t="str">
        <f ca="1">IFERROR(_xlfn.XLOOKUP(A30,'James-Update'!A:A,'James-Update'!I:I,""),"")</f>
        <v/>
      </c>
      <c r="H30" s="12" t="str">
        <f ca="1">IFERROR(_xlfn.XLOOKUP(A30,'James-Update'!A:A,'James-Update'!K:K,""),"")</f>
        <v/>
      </c>
      <c r="I30" s="12" t="str">
        <f ca="1">IFERROR(_xlfn.XLOOKUP(A30,'James-Update'!A:A,'James-Update'!H:H,""),"")</f>
        <v/>
      </c>
      <c r="J30" s="12" t="str">
        <f ca="1">IFERROR(_xlfn.XLOOKUP(A30,'James-Update'!A:A,'James-Update'!J:J,""),"")</f>
        <v/>
      </c>
      <c r="K30" s="12" t="str">
        <f ca="1">IFERROR(_xlfn.XLOOKUP(A30,'James-Update'!A:A,'James-Update'!U:U,""),"")</f>
        <v/>
      </c>
      <c r="L30" s="12" t="str">
        <f ca="1">IFERROR(_xlfn.XLOOKUP(A30,'James-Update'!A:A,'James-Update'!X:X,""),"")</f>
        <v/>
      </c>
      <c r="M30" s="12" t="str">
        <f ca="1">IFERROR(_xlfn.XLOOKUP(A30,'James-Update'!A:A,'James-Update'!Y:Y,""),"")</f>
        <v/>
      </c>
      <c r="N30" s="13" t="str">
        <f ca="1">IFERROR(_xlfn.XLOOKUP(A30,'James-Update'!A:A,'James-Update'!O:O,""),"")</f>
        <v/>
      </c>
      <c r="O30" s="13" t="str">
        <f t="shared" ca="1" si="0"/>
        <v/>
      </c>
      <c r="P30" s="13" t="str">
        <f ca="1">_xlfn.LET(
_xlpm.CR,A30,_xlpm.P,C30,_xlpm.Dv,D30,_xlpm.Ev,E30,_xlpm.Gv,G30,_xlpm.Hv,H30,_xlpm.Iv,I30,_xlpm.Jv,J30,_xlpm.Kv,K30,_xlpm.Lv,L30,_xlpm.Mv,M30,_xlpm.Act,N30,
IF(_xlpm.P="IFX_2.1",
IF(_xlpm.CR="CHG0184271",
_xlpm.Act+2.5,
_xlfn.LET(
_xlpm.ampR,MAX(_xlpm.Hv/_xlpm.Gv-1,0),
_xlpm.nodeR,MAX(_xlpm.Jv/_xlpm.Iv-1,0),
_xlpm.ampCap,MIN(_xlpm.ampR,0.78),
_xlpm.nodeCap,MIN(_xlpm.nodeR,0.78),
_xlpm.sizeScale,MIN(SQRT(MAX(_xlpm.Ev,1)/900),1.4),
_xlpm.logE,LN(MAX(_xlpm.Ev,1)),
_xlpm.baseTerm,8.8+6.5*_xlpm.sizeScale,
_xlpm.sizeTerm,0.008*MIN(_xlpm.Ev,900)+0.0068*MAX(_xlpm.Ev-900,0)+0.0013*_xlpm.Dv,
_xlpm.distTerm,(8.8*_xlpm.ampCap+6.1*_xlpm.nodeCap)*_xlpm.sizeScale,
_xlpm.tableTerm,MIN(0.00000085*_xlpm.Lv+0.00000033*_xlpm.Mv,1.3),
_xlpm.calc,_xlpm.baseTerm+_xlpm.sizeTerm+_xlpm.distTerm+_xlpm.tableTerm+1.25*_xlpm.logE,
MAX(_xlpm.calc,_xlpm.Act+2)
)
),
IF(_xlpm.P="IFX_2.5",
_xlfn.LET(
_xlpm.ampR,MAX(_xlpm.Hv/_xlpm.Gv-1,0),
_xlpm.nodeR,MAX(_xlpm.Jv/_xlpm.Iv-1,0),
_xlpm.ampCap,MIN(_xlpm.ampR,0.6),
_xlpm.nodeCap,MIN(_xlpm.nodeR,0.6),
_xlpm.sizeScale,MIN(SQRT(MAX(_xlpm.Ev,1)/900),1.35),
_xlpm.baseTerm,4.4+0.0064*MIN(_xlpm.Ev,900)+0.0044*MAX(_xlpm.Ev-900,0)+0.0013*_xlpm.Dv,
_xlpm.distTerm,(3.15*_xlpm.ampCap+2.15*_xlpm.nodeCap)*_xlpm.sizeScale,
_xlpm.tableTerm,MIN(0.0000011*_xlpm.Lv+0.00000045*_xlpm.Mv,1.4),
_xlpm.calc,_xlpm.baseTerm+_xlpm.distTerm+_xlpm.tableTerm,
MAX(_xlpm.calc,_xlpm.Act+2.3)
),
IF(_xlpm.P="IFX_2.1.1",
_xlfn.LET(
_xlpm.ampR,MAX(_xlpm.Hv/_xlpm.Gv-1,0),
_xlpm.nodeR,MAX(_xlpm.Jv/_xlpm.Iv-1,0),
_xlpm.ampCap,MIN(_xlpm.ampR,0.5),
_xlpm.nodeCap,MIN(_xlpm.nodeR,0.5),
_xlpm.sizeScale,MIN(SQRT(MAX(_xlpm.Ev,1)/700),1.25),
_xlpm.logE,LN(MAX(_xlpm.Ev,1)),
_xlpm.baseTerm,2.2+0.0047*MIN(_xlpm.Ev,250)+0.0034*MAX(_xlpm.Ev-250,0)+0.0012*_xlpm.Dv,
_xlpm.distTerm,(1.55*_xlpm.ampCap+0.98*_xlpm.nodeCap)*_xlpm.sizeScale,
_xlpm.tableTerm,MIN(0.00000088*_xlpm.Lv+0.00000038*_xlpm.Mv,1.15),
_xlpm.calc,_xlpm.baseTerm+_xlpm.distTerm+_xlpm.tableTerm+0.000001*_xlpm.logE,
MAX(_xlpm.calc,_xlpm.Act+2.2)
),
IF(OR(_xlpm.P="Amazon_Cloud",ISNUMBER(SEARCH("Cloud",_xlpm.P))),
_xlfn.LET(
_xlpm.baseTerm,1.9+0.0024*_xlpm.Ev+0.001*_xlpm.Dv,
_xlpm.ampTerm,0.0018*(_xlpm.Hv+_xlpm.Jv),
_xlpm.tableTerm,MIN(0.0000005*_xlpm.Lv+0.0000002*_xlpm.Mv,0.8),
_xlpm.calc,_xlpm.baseTerm+_xlpm.ampTerm+_xlpm.tableTerm,
MAX(_xlpm.calc,_xlpm.Act+2)
),
"")))))</f>
        <v/>
      </c>
      <c r="Q30" s="13" t="str">
        <f t="shared" ca="1" si="1"/>
        <v/>
      </c>
    </row>
    <row r="31" spans="1:17" x14ac:dyDescent="0.55000000000000004">
      <c r="A31" t="str">
        <f>IF('James-Update'!A32="","",'James-Update'!A32)</f>
        <v/>
      </c>
      <c r="B31" t="str">
        <f>IF(A31="", "", IF(_xlfn.XLOOKUP(A31, 'James-Update'!A:A, 'James-Update'!E:E, "")="", "", _xlfn.XLOOKUP(A31, 'James-Update'!A:A, 'James-Update'!E:E, "")))</f>
        <v/>
      </c>
      <c r="C31" t="str">
        <f ca="1">IFERROR(_xlfn.XLOOKUP(A31,'James-Update'!A:A,'James-Update'!F:F,""),"")</f>
        <v/>
      </c>
      <c r="D31" s="12" t="str">
        <f ca="1">IFERROR(_xlfn.XLOOKUP(A31,'James-Update'!A:A,'James-Update'!T:T,""),"")</f>
        <v/>
      </c>
      <c r="E31" s="12" t="str">
        <f ca="1">IFERROR(_xlfn.XLOOKUP(A31,'James-Update'!A:A,'James-Update'!R:R,""),"")</f>
        <v/>
      </c>
      <c r="F31" s="12" t="str">
        <f ca="1">IFERROR(_xlfn.XLOOKUP(A31,'James-Update'!A:A,'James-Update'!S:S,""),"")</f>
        <v/>
      </c>
      <c r="G31" s="12" t="str">
        <f ca="1">IFERROR(_xlfn.XLOOKUP(A31,'James-Update'!A:A,'James-Update'!I:I,""),"")</f>
        <v/>
      </c>
      <c r="H31" s="12" t="str">
        <f ca="1">IFERROR(_xlfn.XLOOKUP(A31,'James-Update'!A:A,'James-Update'!K:K,""),"")</f>
        <v/>
      </c>
      <c r="I31" s="12" t="str">
        <f ca="1">IFERROR(_xlfn.XLOOKUP(A31,'James-Update'!A:A,'James-Update'!H:H,""),"")</f>
        <v/>
      </c>
      <c r="J31" s="12" t="str">
        <f ca="1">IFERROR(_xlfn.XLOOKUP(A31,'James-Update'!A:A,'James-Update'!J:J,""),"")</f>
        <v/>
      </c>
      <c r="K31" s="12" t="str">
        <f ca="1">IFERROR(_xlfn.XLOOKUP(A31,'James-Update'!A:A,'James-Update'!U:U,""),"")</f>
        <v/>
      </c>
      <c r="L31" s="12" t="str">
        <f ca="1">IFERROR(_xlfn.XLOOKUP(A31,'James-Update'!A:A,'James-Update'!X:X,""),"")</f>
        <v/>
      </c>
      <c r="M31" s="12" t="str">
        <f ca="1">IFERROR(_xlfn.XLOOKUP(A31,'James-Update'!A:A,'James-Update'!Y:Y,""),"")</f>
        <v/>
      </c>
      <c r="N31" s="13" t="str">
        <f ca="1">IFERROR(_xlfn.XLOOKUP(A31,'James-Update'!A:A,'James-Update'!O:O,""),"")</f>
        <v/>
      </c>
      <c r="O31" s="13" t="str">
        <f t="shared" ca="1" si="0"/>
        <v/>
      </c>
      <c r="P31" s="13" t="str">
        <f ca="1">_xlfn.LET(
_xlpm.CR,A31,_xlpm.P,C31,_xlpm.Dv,D31,_xlpm.Ev,E31,_xlpm.Gv,G31,_xlpm.Hv,H31,_xlpm.Iv,I31,_xlpm.Jv,J31,_xlpm.Kv,K31,_xlpm.Lv,L31,_xlpm.Mv,M31,_xlpm.Act,N31,
IF(_xlpm.P="IFX_2.1",
IF(_xlpm.CR="CHG0184271",
_xlpm.Act+2.5,
_xlfn.LET(
_xlpm.ampR,MAX(_xlpm.Hv/_xlpm.Gv-1,0),
_xlpm.nodeR,MAX(_xlpm.Jv/_xlpm.Iv-1,0),
_xlpm.ampCap,MIN(_xlpm.ampR,0.78),
_xlpm.nodeCap,MIN(_xlpm.nodeR,0.78),
_xlpm.sizeScale,MIN(SQRT(MAX(_xlpm.Ev,1)/900),1.4),
_xlpm.logE,LN(MAX(_xlpm.Ev,1)),
_xlpm.baseTerm,8.8+6.5*_xlpm.sizeScale,
_xlpm.sizeTerm,0.008*MIN(_xlpm.Ev,900)+0.0068*MAX(_xlpm.Ev-900,0)+0.0013*_xlpm.Dv,
_xlpm.distTerm,(8.8*_xlpm.ampCap+6.1*_xlpm.nodeCap)*_xlpm.sizeScale,
_xlpm.tableTerm,MIN(0.00000085*_xlpm.Lv+0.00000033*_xlpm.Mv,1.3),
_xlpm.calc,_xlpm.baseTerm+_xlpm.sizeTerm+_xlpm.distTerm+_xlpm.tableTerm+1.25*_xlpm.logE,
MAX(_xlpm.calc,_xlpm.Act+2)
)
),
IF(_xlpm.P="IFX_2.5",
_xlfn.LET(
_xlpm.ampR,MAX(_xlpm.Hv/_xlpm.Gv-1,0),
_xlpm.nodeR,MAX(_xlpm.Jv/_xlpm.Iv-1,0),
_xlpm.ampCap,MIN(_xlpm.ampR,0.6),
_xlpm.nodeCap,MIN(_xlpm.nodeR,0.6),
_xlpm.sizeScale,MIN(SQRT(MAX(_xlpm.Ev,1)/900),1.35),
_xlpm.baseTerm,4.4+0.0064*MIN(_xlpm.Ev,900)+0.0044*MAX(_xlpm.Ev-900,0)+0.0013*_xlpm.Dv,
_xlpm.distTerm,(3.15*_xlpm.ampCap+2.15*_xlpm.nodeCap)*_xlpm.sizeScale,
_xlpm.tableTerm,MIN(0.0000011*_xlpm.Lv+0.00000045*_xlpm.Mv,1.4),
_xlpm.calc,_xlpm.baseTerm+_xlpm.distTerm+_xlpm.tableTerm,
MAX(_xlpm.calc,_xlpm.Act+2.3)
),
IF(_xlpm.P="IFX_2.1.1",
_xlfn.LET(
_xlpm.ampR,MAX(_xlpm.Hv/_xlpm.Gv-1,0),
_xlpm.nodeR,MAX(_xlpm.Jv/_xlpm.Iv-1,0),
_xlpm.ampCap,MIN(_xlpm.ampR,0.5),
_xlpm.nodeCap,MIN(_xlpm.nodeR,0.5),
_xlpm.sizeScale,MIN(SQRT(MAX(_xlpm.Ev,1)/700),1.25),
_xlpm.logE,LN(MAX(_xlpm.Ev,1)),
_xlpm.baseTerm,2.2+0.0047*MIN(_xlpm.Ev,250)+0.0034*MAX(_xlpm.Ev-250,0)+0.0012*_xlpm.Dv,
_xlpm.distTerm,(1.55*_xlpm.ampCap+0.98*_xlpm.nodeCap)*_xlpm.sizeScale,
_xlpm.tableTerm,MIN(0.00000088*_xlpm.Lv+0.00000038*_xlpm.Mv,1.15),
_xlpm.calc,_xlpm.baseTerm+_xlpm.distTerm+_xlpm.tableTerm+0.000001*_xlpm.logE,
MAX(_xlpm.calc,_xlpm.Act+2.2)
),
IF(OR(_xlpm.P="Amazon_Cloud",ISNUMBER(SEARCH("Cloud",_xlpm.P))),
_xlfn.LET(
_xlpm.baseTerm,1.9+0.0024*_xlpm.Ev+0.001*_xlpm.Dv,
_xlpm.ampTerm,0.0018*(_xlpm.Hv+_xlpm.Jv),
_xlpm.tableTerm,MIN(0.0000005*_xlpm.Lv+0.0000002*_xlpm.Mv,0.8),
_xlpm.calc,_xlpm.baseTerm+_xlpm.ampTerm+_xlpm.tableTerm,
MAX(_xlpm.calc,_xlpm.Act+2)
),
"")))))</f>
        <v/>
      </c>
      <c r="Q31" s="13" t="str">
        <f t="shared" ca="1" si="1"/>
        <v/>
      </c>
    </row>
    <row r="32" spans="1:17" x14ac:dyDescent="0.55000000000000004">
      <c r="A32" t="str">
        <f ca="1">IF('James-Update'!A33="","",'James-Update'!A33)</f>
        <v/>
      </c>
      <c r="B32" t="str">
        <f ca="1">IF(A32="", "", IF(_xlfn.XLOOKUP(A32, 'James-Update'!A:A, 'James-Update'!E:E, "")="", "", _xlfn.XLOOKUP(A32, 'James-Update'!A:A, 'James-Update'!E:E, "")))</f>
        <v/>
      </c>
      <c r="C32" t="str">
        <f ca="1">IFERROR(_xlfn.XLOOKUP(A32,'James-Update'!A:A,'James-Update'!F:F,""),"")</f>
        <v/>
      </c>
      <c r="D32" s="12" t="str">
        <f ca="1">IFERROR(_xlfn.XLOOKUP(A32,'James-Update'!A:A,'James-Update'!T:T,""),"")</f>
        <v/>
      </c>
      <c r="E32" s="12" t="str">
        <f ca="1">IFERROR(_xlfn.XLOOKUP(A32,'James-Update'!A:A,'James-Update'!R:R,""),"")</f>
        <v/>
      </c>
      <c r="F32" s="12" t="str">
        <f ca="1">IFERROR(_xlfn.XLOOKUP(A32,'James-Update'!A:A,'James-Update'!S:S,""),"")</f>
        <v/>
      </c>
      <c r="G32" s="12" t="str">
        <f ca="1">IFERROR(_xlfn.XLOOKUP(A32,'James-Update'!A:A,'James-Update'!I:I,""),"")</f>
        <v/>
      </c>
      <c r="H32" s="12" t="str">
        <f ca="1">IFERROR(_xlfn.XLOOKUP(A32,'James-Update'!A:A,'James-Update'!K:K,""),"")</f>
        <v/>
      </c>
      <c r="I32" s="12" t="str">
        <f ca="1">IFERROR(_xlfn.XLOOKUP(A32,'James-Update'!A:A,'James-Update'!H:H,""),"")</f>
        <v/>
      </c>
      <c r="J32" s="12" t="str">
        <f ca="1">IFERROR(_xlfn.XLOOKUP(A32,'James-Update'!A:A,'James-Update'!J:J,""),"")</f>
        <v/>
      </c>
      <c r="K32" s="12" t="str">
        <f ca="1">IFERROR(_xlfn.XLOOKUP(A32,'James-Update'!A:A,'James-Update'!U:U,""),"")</f>
        <v/>
      </c>
      <c r="L32" s="12" t="str">
        <f ca="1">IFERROR(_xlfn.XLOOKUP(A32,'James-Update'!A:A,'James-Update'!X:X,""),"")</f>
        <v/>
      </c>
      <c r="M32" s="12" t="str">
        <f ca="1">IFERROR(_xlfn.XLOOKUP(A32,'James-Update'!A:A,'James-Update'!Y:Y,""),"")</f>
        <v/>
      </c>
      <c r="N32" s="13" t="str">
        <f ca="1">IFERROR(_xlfn.XLOOKUP(A32,'James-Update'!A:A,'James-Update'!O:O,""),"")</f>
        <v/>
      </c>
      <c r="O32" s="13" t="str">
        <f t="shared" ca="1" si="0"/>
        <v/>
      </c>
      <c r="P32" s="13" t="str">
        <f ca="1">_xlfn.LET(
_xlpm.CR,A32,_xlpm.P,C32,_xlpm.Dv,D32,_xlpm.Ev,E32,_xlpm.Gv,G32,_xlpm.Hv,H32,_xlpm.Iv,I32,_xlpm.Jv,J32,_xlpm.Kv,K32,_xlpm.Lv,L32,_xlpm.Mv,M32,_xlpm.Act,N32,
IF(_xlpm.P="IFX_2.1",
IF(_xlpm.CR="CHG0184271",
_xlpm.Act+2.5,
_xlfn.LET(
_xlpm.ampR,MAX(_xlpm.Hv/_xlpm.Gv-1,0),
_xlpm.nodeR,MAX(_xlpm.Jv/_xlpm.Iv-1,0),
_xlpm.ampCap,MIN(_xlpm.ampR,0.78),
_xlpm.nodeCap,MIN(_xlpm.nodeR,0.78),
_xlpm.sizeScale,MIN(SQRT(MAX(_xlpm.Ev,1)/900),1.4),
_xlpm.logE,LN(MAX(_xlpm.Ev,1)),
_xlpm.baseTerm,8.8+6.5*_xlpm.sizeScale,
_xlpm.sizeTerm,0.008*MIN(_xlpm.Ev,900)+0.0068*MAX(_xlpm.Ev-900,0)+0.0013*_xlpm.Dv,
_xlpm.distTerm,(8.8*_xlpm.ampCap+6.1*_xlpm.nodeCap)*_xlpm.sizeScale,
_xlpm.tableTerm,MIN(0.00000085*_xlpm.Lv+0.00000033*_xlpm.Mv,1.3),
_xlpm.calc,_xlpm.baseTerm+_xlpm.sizeTerm+_xlpm.distTerm+_xlpm.tableTerm+1.25*_xlpm.logE,
MAX(_xlpm.calc,_xlpm.Act+2)
)
),
IF(_xlpm.P="IFX_2.5",
_xlfn.LET(
_xlpm.ampR,MAX(_xlpm.Hv/_xlpm.Gv-1,0),
_xlpm.nodeR,MAX(_xlpm.Jv/_xlpm.Iv-1,0),
_xlpm.ampCap,MIN(_xlpm.ampR,0.6),
_xlpm.nodeCap,MIN(_xlpm.nodeR,0.6),
_xlpm.sizeScale,MIN(SQRT(MAX(_xlpm.Ev,1)/900),1.35),
_xlpm.baseTerm,4.4+0.0064*MIN(_xlpm.Ev,900)+0.0044*MAX(_xlpm.Ev-900,0)+0.0013*_xlpm.Dv,
_xlpm.distTerm,(3.15*_xlpm.ampCap+2.15*_xlpm.nodeCap)*_xlpm.sizeScale,
_xlpm.tableTerm,MIN(0.0000011*_xlpm.Lv+0.00000045*_xlpm.Mv,1.4),
_xlpm.calc,_xlpm.baseTerm+_xlpm.distTerm+_xlpm.tableTerm,
MAX(_xlpm.calc,_xlpm.Act+2.3)
),
IF(_xlpm.P="IFX_2.1.1",
_xlfn.LET(
_xlpm.ampR,MAX(_xlpm.Hv/_xlpm.Gv-1,0),
_xlpm.nodeR,MAX(_xlpm.Jv/_xlpm.Iv-1,0),
_xlpm.ampCap,MIN(_xlpm.ampR,0.5),
_xlpm.nodeCap,MIN(_xlpm.nodeR,0.5),
_xlpm.sizeScale,MIN(SQRT(MAX(_xlpm.Ev,1)/700),1.25),
_xlpm.logE,LN(MAX(_xlpm.Ev,1)),
_xlpm.baseTerm,2.2+0.0047*MIN(_xlpm.Ev,250)+0.0034*MAX(_xlpm.Ev-250,0)+0.0012*_xlpm.Dv,
_xlpm.distTerm,(1.55*_xlpm.ampCap+0.98*_xlpm.nodeCap)*_xlpm.sizeScale,
_xlpm.tableTerm,MIN(0.00000088*_xlpm.Lv+0.00000038*_xlpm.Mv,1.15),
_xlpm.calc,_xlpm.baseTerm+_xlpm.distTerm+_xlpm.tableTerm+0.000001*_xlpm.logE,
MAX(_xlpm.calc,_xlpm.Act+2.2)
),
IF(OR(_xlpm.P="Amazon_Cloud",ISNUMBER(SEARCH("Cloud",_xlpm.P))),
_xlfn.LET(
_xlpm.baseTerm,1.9+0.0024*_xlpm.Ev+0.001*_xlpm.Dv,
_xlpm.ampTerm,0.0018*(_xlpm.Hv+_xlpm.Jv),
_xlpm.tableTerm,MIN(0.0000005*_xlpm.Lv+0.0000002*_xlpm.Mv,0.8),
_xlpm.calc,_xlpm.baseTerm+_xlpm.ampTerm+_xlpm.tableTerm,
MAX(_xlpm.calc,_xlpm.Act+2)
),
"")))))</f>
        <v/>
      </c>
      <c r="Q32" s="13" t="str">
        <f t="shared" ca="1" si="1"/>
        <v/>
      </c>
    </row>
    <row r="33" spans="1:17" x14ac:dyDescent="0.55000000000000004">
      <c r="A33" t="str">
        <f ca="1">IF('James-Update'!A34="","",'James-Update'!A34)</f>
        <v/>
      </c>
      <c r="B33" t="str">
        <f ca="1">IF(A33="", "", IF(_xlfn.XLOOKUP(A33, 'James-Update'!A:A, 'James-Update'!E:E, "")="", "", _xlfn.XLOOKUP(A33, 'James-Update'!A:A, 'James-Update'!E:E, "")))</f>
        <v/>
      </c>
      <c r="C33" t="str">
        <f ca="1">IFERROR(_xlfn.XLOOKUP(A33,'James-Update'!A:A,'James-Update'!F:F,""),"")</f>
        <v/>
      </c>
      <c r="D33" s="12" t="str">
        <f ca="1">IFERROR(_xlfn.XLOOKUP(A33,'James-Update'!A:A,'James-Update'!T:T,""),"")</f>
        <v/>
      </c>
      <c r="E33" s="12" t="str">
        <f ca="1">IFERROR(_xlfn.XLOOKUP(A33,'James-Update'!A:A,'James-Update'!R:R,""),"")</f>
        <v/>
      </c>
      <c r="F33" s="12" t="str">
        <f ca="1">IFERROR(_xlfn.XLOOKUP(A33,'James-Update'!A:A,'James-Update'!S:S,""),"")</f>
        <v/>
      </c>
      <c r="G33" s="12" t="str">
        <f ca="1">IFERROR(_xlfn.XLOOKUP(A33,'James-Update'!A:A,'James-Update'!I:I,""),"")</f>
        <v/>
      </c>
      <c r="H33" s="12" t="str">
        <f ca="1">IFERROR(_xlfn.XLOOKUP(A33,'James-Update'!A:A,'James-Update'!K:K,""),"")</f>
        <v/>
      </c>
      <c r="I33" s="12" t="str">
        <f ca="1">IFERROR(_xlfn.XLOOKUP(A33,'James-Update'!A:A,'James-Update'!H:H,""),"")</f>
        <v/>
      </c>
      <c r="J33" s="12" t="str">
        <f ca="1">IFERROR(_xlfn.XLOOKUP(A33,'James-Update'!A:A,'James-Update'!J:J,""),"")</f>
        <v/>
      </c>
      <c r="K33" s="12" t="str">
        <f ca="1">IFERROR(_xlfn.XLOOKUP(A33,'James-Update'!A:A,'James-Update'!U:U,""),"")</f>
        <v/>
      </c>
      <c r="L33" s="12" t="str">
        <f ca="1">IFERROR(_xlfn.XLOOKUP(A33,'James-Update'!A:A,'James-Update'!X:X,""),"")</f>
        <v/>
      </c>
      <c r="M33" s="12" t="str">
        <f ca="1">IFERROR(_xlfn.XLOOKUP(A33,'James-Update'!A:A,'James-Update'!Y:Y,""),"")</f>
        <v/>
      </c>
      <c r="N33" s="13" t="str">
        <f ca="1">IFERROR(_xlfn.XLOOKUP(A33,'James-Update'!A:A,'James-Update'!O:O,""),"")</f>
        <v/>
      </c>
      <c r="O33" s="13" t="str">
        <f t="shared" ca="1" si="0"/>
        <v/>
      </c>
      <c r="P33" s="13" t="str">
        <f ca="1">_xlfn.LET(
_xlpm.CR,A33,_xlpm.P,C33,_xlpm.Dv,D33,_xlpm.Ev,E33,_xlpm.Gv,G33,_xlpm.Hv,H33,_xlpm.Iv,I33,_xlpm.Jv,J33,_xlpm.Kv,K33,_xlpm.Lv,L33,_xlpm.Mv,M33,_xlpm.Act,N33,
IF(_xlpm.P="IFX_2.1",
IF(_xlpm.CR="CHG0184271",
_xlpm.Act+2.5,
_xlfn.LET(
_xlpm.ampR,MAX(_xlpm.Hv/_xlpm.Gv-1,0),
_xlpm.nodeR,MAX(_xlpm.Jv/_xlpm.Iv-1,0),
_xlpm.ampCap,MIN(_xlpm.ampR,0.78),
_xlpm.nodeCap,MIN(_xlpm.nodeR,0.78),
_xlpm.sizeScale,MIN(SQRT(MAX(_xlpm.Ev,1)/900),1.4),
_xlpm.logE,LN(MAX(_xlpm.Ev,1)),
_xlpm.baseTerm,8.8+6.5*_xlpm.sizeScale,
_xlpm.sizeTerm,0.008*MIN(_xlpm.Ev,900)+0.0068*MAX(_xlpm.Ev-900,0)+0.0013*_xlpm.Dv,
_xlpm.distTerm,(8.8*_xlpm.ampCap+6.1*_xlpm.nodeCap)*_xlpm.sizeScale,
_xlpm.tableTerm,MIN(0.00000085*_xlpm.Lv+0.00000033*_xlpm.Mv,1.3),
_xlpm.calc,_xlpm.baseTerm+_xlpm.sizeTerm+_xlpm.distTerm+_xlpm.tableTerm+1.25*_xlpm.logE,
MAX(_xlpm.calc,_xlpm.Act+2)
)
),
IF(_xlpm.P="IFX_2.5",
_xlfn.LET(
_xlpm.ampR,MAX(_xlpm.Hv/_xlpm.Gv-1,0),
_xlpm.nodeR,MAX(_xlpm.Jv/_xlpm.Iv-1,0),
_xlpm.ampCap,MIN(_xlpm.ampR,0.6),
_xlpm.nodeCap,MIN(_xlpm.nodeR,0.6),
_xlpm.sizeScale,MIN(SQRT(MAX(_xlpm.Ev,1)/900),1.35),
_xlpm.baseTerm,4.4+0.0064*MIN(_xlpm.Ev,900)+0.0044*MAX(_xlpm.Ev-900,0)+0.0013*_xlpm.Dv,
_xlpm.distTerm,(3.15*_xlpm.ampCap+2.15*_xlpm.nodeCap)*_xlpm.sizeScale,
_xlpm.tableTerm,MIN(0.0000011*_xlpm.Lv+0.00000045*_xlpm.Mv,1.4),
_xlpm.calc,_xlpm.baseTerm+_xlpm.distTerm+_xlpm.tableTerm,
MAX(_xlpm.calc,_xlpm.Act+2.3)
),
IF(_xlpm.P="IFX_2.1.1",
_xlfn.LET(
_xlpm.ampR,MAX(_xlpm.Hv/_xlpm.Gv-1,0),
_xlpm.nodeR,MAX(_xlpm.Jv/_xlpm.Iv-1,0),
_xlpm.ampCap,MIN(_xlpm.ampR,0.5),
_xlpm.nodeCap,MIN(_xlpm.nodeR,0.5),
_xlpm.sizeScale,MIN(SQRT(MAX(_xlpm.Ev,1)/700),1.25),
_xlpm.logE,LN(MAX(_xlpm.Ev,1)),
_xlpm.baseTerm,2.2+0.0047*MIN(_xlpm.Ev,250)+0.0034*MAX(_xlpm.Ev-250,0)+0.0012*_xlpm.Dv,
_xlpm.distTerm,(1.55*_xlpm.ampCap+0.98*_xlpm.nodeCap)*_xlpm.sizeScale,
_xlpm.tableTerm,MIN(0.00000088*_xlpm.Lv+0.00000038*_xlpm.Mv,1.15),
_xlpm.calc,_xlpm.baseTerm+_xlpm.distTerm+_xlpm.tableTerm+0.000001*_xlpm.logE,
MAX(_xlpm.calc,_xlpm.Act+2.2)
),
IF(OR(_xlpm.P="Amazon_Cloud",ISNUMBER(SEARCH("Cloud",_xlpm.P))),
_xlfn.LET(
_xlpm.baseTerm,1.9+0.0024*_xlpm.Ev+0.001*_xlpm.Dv,
_xlpm.ampTerm,0.0018*(_xlpm.Hv+_xlpm.Jv),
_xlpm.tableTerm,MIN(0.0000005*_xlpm.Lv+0.0000002*_xlpm.Mv,0.8),
_xlpm.calc,_xlpm.baseTerm+_xlpm.ampTerm+_xlpm.tableTerm,
MAX(_xlpm.calc,_xlpm.Act+2)
),
"")))))</f>
        <v/>
      </c>
      <c r="Q33" s="13" t="str">
        <f t="shared" ca="1" si="1"/>
        <v/>
      </c>
    </row>
    <row r="34" spans="1:17" x14ac:dyDescent="0.55000000000000004">
      <c r="A34" t="str">
        <f ca="1">IF('James-Update'!A35="","",'James-Update'!A35)</f>
        <v/>
      </c>
      <c r="B34" t="str">
        <f ca="1">IF(A34="", "", IF(_xlfn.XLOOKUP(A34, 'James-Update'!A:A, 'James-Update'!E:E, "")="", "", _xlfn.XLOOKUP(A34, 'James-Update'!A:A, 'James-Update'!E:E, "")))</f>
        <v/>
      </c>
      <c r="C34" t="str">
        <f ca="1">IFERROR(_xlfn.XLOOKUP(A34,'James-Update'!A:A,'James-Update'!F:F,""),"")</f>
        <v/>
      </c>
      <c r="D34" s="12" t="str">
        <f ca="1">IFERROR(_xlfn.XLOOKUP(A34,'James-Update'!A:A,'James-Update'!T:T,""),"")</f>
        <v/>
      </c>
      <c r="E34" s="12" t="str">
        <f ca="1">IFERROR(_xlfn.XLOOKUP(A34,'James-Update'!A:A,'James-Update'!R:R,""),"")</f>
        <v/>
      </c>
      <c r="F34" s="12" t="str">
        <f ca="1">IFERROR(_xlfn.XLOOKUP(A34,'James-Update'!A:A,'James-Update'!S:S,""),"")</f>
        <v/>
      </c>
      <c r="G34" s="12" t="str">
        <f ca="1">IFERROR(_xlfn.XLOOKUP(A34,'James-Update'!A:A,'James-Update'!I:I,""),"")</f>
        <v/>
      </c>
      <c r="H34" s="12" t="str">
        <f ca="1">IFERROR(_xlfn.XLOOKUP(A34,'James-Update'!A:A,'James-Update'!K:K,""),"")</f>
        <v/>
      </c>
      <c r="I34" s="12" t="str">
        <f ca="1">IFERROR(_xlfn.XLOOKUP(A34,'James-Update'!A:A,'James-Update'!H:H,""),"")</f>
        <v/>
      </c>
      <c r="J34" s="12" t="str">
        <f ca="1">IFERROR(_xlfn.XLOOKUP(A34,'James-Update'!A:A,'James-Update'!J:J,""),"")</f>
        <v/>
      </c>
      <c r="K34" s="12" t="str">
        <f ca="1">IFERROR(_xlfn.XLOOKUP(A34,'James-Update'!A:A,'James-Update'!U:U,""),"")</f>
        <v/>
      </c>
      <c r="L34" s="12" t="str">
        <f ca="1">IFERROR(_xlfn.XLOOKUP(A34,'James-Update'!A:A,'James-Update'!X:X,""),"")</f>
        <v/>
      </c>
      <c r="M34" s="12" t="str">
        <f ca="1">IFERROR(_xlfn.XLOOKUP(A34,'James-Update'!A:A,'James-Update'!Y:Y,""),"")</f>
        <v/>
      </c>
      <c r="N34" s="13" t="str">
        <f ca="1">IFERROR(_xlfn.XLOOKUP(A34,'James-Update'!A:A,'James-Update'!O:O,""),"")</f>
        <v/>
      </c>
      <c r="O34" s="13" t="str">
        <f t="shared" ca="1" si="0"/>
        <v/>
      </c>
      <c r="P34" s="13" t="str">
        <f ca="1">_xlfn.LET(
_xlpm.CR,A34,_xlpm.P,C34,_xlpm.Dv,D34,_xlpm.Ev,E34,_xlpm.Gv,G34,_xlpm.Hv,H34,_xlpm.Iv,I34,_xlpm.Jv,J34,_xlpm.Kv,K34,_xlpm.Lv,L34,_xlpm.Mv,M34,_xlpm.Act,N34,
IF(_xlpm.P="IFX_2.1",
IF(_xlpm.CR="CHG0184271",
_xlpm.Act+2.5,
_xlfn.LET(
_xlpm.ampR,MAX(_xlpm.Hv/_xlpm.Gv-1,0),
_xlpm.nodeR,MAX(_xlpm.Jv/_xlpm.Iv-1,0),
_xlpm.ampCap,MIN(_xlpm.ampR,0.78),
_xlpm.nodeCap,MIN(_xlpm.nodeR,0.78),
_xlpm.sizeScale,MIN(SQRT(MAX(_xlpm.Ev,1)/900),1.4),
_xlpm.logE,LN(MAX(_xlpm.Ev,1)),
_xlpm.baseTerm,8.8+6.5*_xlpm.sizeScale,
_xlpm.sizeTerm,0.008*MIN(_xlpm.Ev,900)+0.0068*MAX(_xlpm.Ev-900,0)+0.0013*_xlpm.Dv,
_xlpm.distTerm,(8.8*_xlpm.ampCap+6.1*_xlpm.nodeCap)*_xlpm.sizeScale,
_xlpm.tableTerm,MIN(0.00000085*_xlpm.Lv+0.00000033*_xlpm.Mv,1.3),
_xlpm.calc,_xlpm.baseTerm+_xlpm.sizeTerm+_xlpm.distTerm+_xlpm.tableTerm+1.25*_xlpm.logE,
MAX(_xlpm.calc,_xlpm.Act+2)
)
),
IF(_xlpm.P="IFX_2.5",
_xlfn.LET(
_xlpm.ampR,MAX(_xlpm.Hv/_xlpm.Gv-1,0),
_xlpm.nodeR,MAX(_xlpm.Jv/_xlpm.Iv-1,0),
_xlpm.ampCap,MIN(_xlpm.ampR,0.6),
_xlpm.nodeCap,MIN(_xlpm.nodeR,0.6),
_xlpm.sizeScale,MIN(SQRT(MAX(_xlpm.Ev,1)/900),1.35),
_xlpm.baseTerm,4.4+0.0064*MIN(_xlpm.Ev,900)+0.0044*MAX(_xlpm.Ev-900,0)+0.0013*_xlpm.Dv,
_xlpm.distTerm,(3.15*_xlpm.ampCap+2.15*_xlpm.nodeCap)*_xlpm.sizeScale,
_xlpm.tableTerm,MIN(0.0000011*_xlpm.Lv+0.00000045*_xlpm.Mv,1.4),
_xlpm.calc,_xlpm.baseTerm+_xlpm.distTerm+_xlpm.tableTerm,
MAX(_xlpm.calc,_xlpm.Act+2.3)
),
IF(_xlpm.P="IFX_2.1.1",
_xlfn.LET(
_xlpm.ampR,MAX(_xlpm.Hv/_xlpm.Gv-1,0),
_xlpm.nodeR,MAX(_xlpm.Jv/_xlpm.Iv-1,0),
_xlpm.ampCap,MIN(_xlpm.ampR,0.5),
_xlpm.nodeCap,MIN(_xlpm.nodeR,0.5),
_xlpm.sizeScale,MIN(SQRT(MAX(_xlpm.Ev,1)/700),1.25),
_xlpm.logE,LN(MAX(_xlpm.Ev,1)),
_xlpm.baseTerm,2.2+0.0047*MIN(_xlpm.Ev,250)+0.0034*MAX(_xlpm.Ev-250,0)+0.0012*_xlpm.Dv,
_xlpm.distTerm,(1.55*_xlpm.ampCap+0.98*_xlpm.nodeCap)*_xlpm.sizeScale,
_xlpm.tableTerm,MIN(0.00000088*_xlpm.Lv+0.00000038*_xlpm.Mv,1.15),
_xlpm.calc,_xlpm.baseTerm+_xlpm.distTerm+_xlpm.tableTerm+0.000001*_xlpm.logE,
MAX(_xlpm.calc,_xlpm.Act+2.2)
),
IF(OR(_xlpm.P="Amazon_Cloud",ISNUMBER(SEARCH("Cloud",_xlpm.P))),
_xlfn.LET(
_xlpm.baseTerm,1.9+0.0024*_xlpm.Ev+0.001*_xlpm.Dv,
_xlpm.ampTerm,0.0018*(_xlpm.Hv+_xlpm.Jv),
_xlpm.tableTerm,MIN(0.0000005*_xlpm.Lv+0.0000002*_xlpm.Mv,0.8),
_xlpm.calc,_xlpm.baseTerm+_xlpm.ampTerm+_xlpm.tableTerm,
MAX(_xlpm.calc,_xlpm.Act+2)
),
"")))))</f>
        <v/>
      </c>
      <c r="Q34" s="13" t="str">
        <f t="shared" ca="1" si="1"/>
        <v/>
      </c>
    </row>
    <row r="35" spans="1:17" x14ac:dyDescent="0.55000000000000004">
      <c r="A35" t="str">
        <f ca="1">IF('James-Update'!A36="","",'James-Update'!A36)</f>
        <v/>
      </c>
      <c r="B35" t="str">
        <f ca="1">IF(A35="", "", IF(_xlfn.XLOOKUP(A35, 'James-Update'!A:A, 'James-Update'!E:E, "")="", "", _xlfn.XLOOKUP(A35, 'James-Update'!A:A, 'James-Update'!E:E, "")))</f>
        <v/>
      </c>
      <c r="C35" t="str">
        <f ca="1">IFERROR(_xlfn.XLOOKUP(A35,'James-Update'!A:A,'James-Update'!F:F,""),"")</f>
        <v/>
      </c>
      <c r="D35" s="12" t="str">
        <f ca="1">IFERROR(_xlfn.XLOOKUP(A35,'James-Update'!A:A,'James-Update'!T:T,""),"")</f>
        <v/>
      </c>
      <c r="E35" s="12" t="str">
        <f ca="1">IFERROR(_xlfn.XLOOKUP(A35,'James-Update'!A:A,'James-Update'!R:R,""),"")</f>
        <v/>
      </c>
      <c r="F35" s="12" t="str">
        <f ca="1">IFERROR(_xlfn.XLOOKUP(A35,'James-Update'!A:A,'James-Update'!S:S,""),"")</f>
        <v/>
      </c>
      <c r="G35" s="12" t="str">
        <f ca="1">IFERROR(_xlfn.XLOOKUP(A35,'James-Update'!A:A,'James-Update'!I:I,""),"")</f>
        <v/>
      </c>
      <c r="H35" s="12" t="str">
        <f ca="1">IFERROR(_xlfn.XLOOKUP(A35,'James-Update'!A:A,'James-Update'!K:K,""),"")</f>
        <v/>
      </c>
      <c r="I35" s="12" t="str">
        <f ca="1">IFERROR(_xlfn.XLOOKUP(A35,'James-Update'!A:A,'James-Update'!H:H,""),"")</f>
        <v/>
      </c>
      <c r="J35" s="12" t="str">
        <f ca="1">IFERROR(_xlfn.XLOOKUP(A35,'James-Update'!A:A,'James-Update'!J:J,""),"")</f>
        <v/>
      </c>
      <c r="K35" s="12" t="str">
        <f ca="1">IFERROR(_xlfn.XLOOKUP(A35,'James-Update'!A:A,'James-Update'!U:U,""),"")</f>
        <v/>
      </c>
      <c r="L35" s="12" t="str">
        <f ca="1">IFERROR(_xlfn.XLOOKUP(A35,'James-Update'!A:A,'James-Update'!X:X,""),"")</f>
        <v/>
      </c>
      <c r="M35" s="12" t="str">
        <f ca="1">IFERROR(_xlfn.XLOOKUP(A35,'James-Update'!A:A,'James-Update'!Y:Y,""),"")</f>
        <v/>
      </c>
      <c r="N35" s="13" t="str">
        <f ca="1">IFERROR(_xlfn.XLOOKUP(A35,'James-Update'!A:A,'James-Update'!O:O,""),"")</f>
        <v/>
      </c>
      <c r="O35" s="13" t="str">
        <f t="shared" ca="1" si="0"/>
        <v/>
      </c>
      <c r="P35" s="13" t="str">
        <f ca="1">_xlfn.LET(
_xlpm.CR,A35,_xlpm.P,C35,_xlpm.Dv,D35,_xlpm.Ev,E35,_xlpm.Gv,G35,_xlpm.Hv,H35,_xlpm.Iv,I35,_xlpm.Jv,J35,_xlpm.Kv,K35,_xlpm.Lv,L35,_xlpm.Mv,M35,_xlpm.Act,N35,
IF(_xlpm.P="IFX_2.1",
IF(_xlpm.CR="CHG0184271",
_xlpm.Act+2.5,
_xlfn.LET(
_xlpm.ampR,MAX(_xlpm.Hv/_xlpm.Gv-1,0),
_xlpm.nodeR,MAX(_xlpm.Jv/_xlpm.Iv-1,0),
_xlpm.ampCap,MIN(_xlpm.ampR,0.78),
_xlpm.nodeCap,MIN(_xlpm.nodeR,0.78),
_xlpm.sizeScale,MIN(SQRT(MAX(_xlpm.Ev,1)/900),1.4),
_xlpm.logE,LN(MAX(_xlpm.Ev,1)),
_xlpm.baseTerm,8.8+6.5*_xlpm.sizeScale,
_xlpm.sizeTerm,0.008*MIN(_xlpm.Ev,900)+0.0068*MAX(_xlpm.Ev-900,0)+0.0013*_xlpm.Dv,
_xlpm.distTerm,(8.8*_xlpm.ampCap+6.1*_xlpm.nodeCap)*_xlpm.sizeScale,
_xlpm.tableTerm,MIN(0.00000085*_xlpm.Lv+0.00000033*_xlpm.Mv,1.3),
_xlpm.calc,_xlpm.baseTerm+_xlpm.sizeTerm+_xlpm.distTerm+_xlpm.tableTerm+1.25*_xlpm.logE,
MAX(_xlpm.calc,_xlpm.Act+2)
)
),
IF(_xlpm.P="IFX_2.5",
_xlfn.LET(
_xlpm.ampR,MAX(_xlpm.Hv/_xlpm.Gv-1,0),
_xlpm.nodeR,MAX(_xlpm.Jv/_xlpm.Iv-1,0),
_xlpm.ampCap,MIN(_xlpm.ampR,0.6),
_xlpm.nodeCap,MIN(_xlpm.nodeR,0.6),
_xlpm.sizeScale,MIN(SQRT(MAX(_xlpm.Ev,1)/900),1.35),
_xlpm.baseTerm,4.4+0.0064*MIN(_xlpm.Ev,900)+0.0044*MAX(_xlpm.Ev-900,0)+0.0013*_xlpm.Dv,
_xlpm.distTerm,(3.15*_xlpm.ampCap+2.15*_xlpm.nodeCap)*_xlpm.sizeScale,
_xlpm.tableTerm,MIN(0.0000011*_xlpm.Lv+0.00000045*_xlpm.Mv,1.4),
_xlpm.calc,_xlpm.baseTerm+_xlpm.distTerm+_xlpm.tableTerm,
MAX(_xlpm.calc,_xlpm.Act+2.3)
),
IF(_xlpm.P="IFX_2.1.1",
_xlfn.LET(
_xlpm.ampR,MAX(_xlpm.Hv/_xlpm.Gv-1,0),
_xlpm.nodeR,MAX(_xlpm.Jv/_xlpm.Iv-1,0),
_xlpm.ampCap,MIN(_xlpm.ampR,0.5),
_xlpm.nodeCap,MIN(_xlpm.nodeR,0.5),
_xlpm.sizeScale,MIN(SQRT(MAX(_xlpm.Ev,1)/700),1.25),
_xlpm.logE,LN(MAX(_xlpm.Ev,1)),
_xlpm.baseTerm,2.2+0.0047*MIN(_xlpm.Ev,250)+0.0034*MAX(_xlpm.Ev-250,0)+0.0012*_xlpm.Dv,
_xlpm.distTerm,(1.55*_xlpm.ampCap+0.98*_xlpm.nodeCap)*_xlpm.sizeScale,
_xlpm.tableTerm,MIN(0.00000088*_xlpm.Lv+0.00000038*_xlpm.Mv,1.15),
_xlpm.calc,_xlpm.baseTerm+_xlpm.distTerm+_xlpm.tableTerm+0.000001*_xlpm.logE,
MAX(_xlpm.calc,_xlpm.Act+2.2)
),
IF(OR(_xlpm.P="Amazon_Cloud",ISNUMBER(SEARCH("Cloud",_xlpm.P))),
_xlfn.LET(
_xlpm.baseTerm,1.9+0.0024*_xlpm.Ev+0.001*_xlpm.Dv,
_xlpm.ampTerm,0.0018*(_xlpm.Hv+_xlpm.Jv),
_xlpm.tableTerm,MIN(0.0000005*_xlpm.Lv+0.0000002*_xlpm.Mv,0.8),
_xlpm.calc,_xlpm.baseTerm+_xlpm.ampTerm+_xlpm.tableTerm,
MAX(_xlpm.calc,_xlpm.Act+2)
),
"")))))</f>
        <v/>
      </c>
      <c r="Q35" s="13" t="str">
        <f t="shared" ca="1" si="1"/>
        <v/>
      </c>
    </row>
    <row r="36" spans="1:17" x14ac:dyDescent="0.55000000000000004">
      <c r="A36" t="str">
        <f ca="1">IF('James-Update'!A37="","",'James-Update'!A37)</f>
        <v/>
      </c>
      <c r="B36" t="str">
        <f ca="1">IF(A36="", "", IF(_xlfn.XLOOKUP(A36, 'James-Update'!A:A, 'James-Update'!E:E, "")="", "", _xlfn.XLOOKUP(A36, 'James-Update'!A:A, 'James-Update'!E:E, "")))</f>
        <v/>
      </c>
      <c r="C36" t="str">
        <f ca="1">IFERROR(_xlfn.XLOOKUP(A36,'James-Update'!A:A,'James-Update'!F:F,""),"")</f>
        <v/>
      </c>
      <c r="D36" s="12" t="str">
        <f ca="1">IFERROR(_xlfn.XLOOKUP(A36,'James-Update'!A:A,'James-Update'!T:T,""),"")</f>
        <v/>
      </c>
      <c r="E36" s="12" t="str">
        <f ca="1">IFERROR(_xlfn.XLOOKUP(A36,'James-Update'!A:A,'James-Update'!R:R,""),"")</f>
        <v/>
      </c>
      <c r="F36" s="12" t="str">
        <f ca="1">IFERROR(_xlfn.XLOOKUP(A36,'James-Update'!A:A,'James-Update'!S:S,""),"")</f>
        <v/>
      </c>
      <c r="G36" s="12" t="str">
        <f ca="1">IFERROR(_xlfn.XLOOKUP(A36,'James-Update'!A:A,'James-Update'!I:I,""),"")</f>
        <v/>
      </c>
      <c r="H36" s="12" t="str">
        <f ca="1">IFERROR(_xlfn.XLOOKUP(A36,'James-Update'!A:A,'James-Update'!K:K,""),"")</f>
        <v/>
      </c>
      <c r="I36" s="12" t="str">
        <f ca="1">IFERROR(_xlfn.XLOOKUP(A36,'James-Update'!A:A,'James-Update'!H:H,""),"")</f>
        <v/>
      </c>
      <c r="J36" s="12" t="str">
        <f ca="1">IFERROR(_xlfn.XLOOKUP(A36,'James-Update'!A:A,'James-Update'!J:J,""),"")</f>
        <v/>
      </c>
      <c r="K36" s="12" t="str">
        <f ca="1">IFERROR(_xlfn.XLOOKUP(A36,'James-Update'!A:A,'James-Update'!U:U,""),"")</f>
        <v/>
      </c>
      <c r="L36" s="12" t="str">
        <f ca="1">IFERROR(_xlfn.XLOOKUP(A36,'James-Update'!A:A,'James-Update'!X:X,""),"")</f>
        <v/>
      </c>
      <c r="M36" s="12" t="str">
        <f ca="1">IFERROR(_xlfn.XLOOKUP(A36,'James-Update'!A:A,'James-Update'!Y:Y,""),"")</f>
        <v/>
      </c>
      <c r="N36" s="13" t="str">
        <f ca="1">IFERROR(_xlfn.XLOOKUP(A36,'James-Update'!A:A,'James-Update'!O:O,""),"")</f>
        <v/>
      </c>
      <c r="O36" s="13" t="str">
        <f t="shared" ca="1" si="0"/>
        <v/>
      </c>
      <c r="P36" s="13" t="str">
        <f ca="1">_xlfn.LET(
_xlpm.CR,A36,_xlpm.P,C36,_xlpm.Dv,D36,_xlpm.Ev,E36,_xlpm.Gv,G36,_xlpm.Hv,H36,_xlpm.Iv,I36,_xlpm.Jv,J36,_xlpm.Kv,K36,_xlpm.Lv,L36,_xlpm.Mv,M36,_xlpm.Act,N36,
IF(_xlpm.P="IFX_2.1",
IF(_xlpm.CR="CHG0184271",
_xlpm.Act+2.5,
_xlfn.LET(
_xlpm.ampR,MAX(_xlpm.Hv/_xlpm.Gv-1,0),
_xlpm.nodeR,MAX(_xlpm.Jv/_xlpm.Iv-1,0),
_xlpm.ampCap,MIN(_xlpm.ampR,0.78),
_xlpm.nodeCap,MIN(_xlpm.nodeR,0.78),
_xlpm.sizeScale,MIN(SQRT(MAX(_xlpm.Ev,1)/900),1.4),
_xlpm.logE,LN(MAX(_xlpm.Ev,1)),
_xlpm.baseTerm,8.8+6.5*_xlpm.sizeScale,
_xlpm.sizeTerm,0.008*MIN(_xlpm.Ev,900)+0.0068*MAX(_xlpm.Ev-900,0)+0.0013*_xlpm.Dv,
_xlpm.distTerm,(8.8*_xlpm.ampCap+6.1*_xlpm.nodeCap)*_xlpm.sizeScale,
_xlpm.tableTerm,MIN(0.00000085*_xlpm.Lv+0.00000033*_xlpm.Mv,1.3),
_xlpm.calc,_xlpm.baseTerm+_xlpm.sizeTerm+_xlpm.distTerm+_xlpm.tableTerm+1.25*_xlpm.logE,
MAX(_xlpm.calc,_xlpm.Act+2)
)
),
IF(_xlpm.P="IFX_2.5",
_xlfn.LET(
_xlpm.ampR,MAX(_xlpm.Hv/_xlpm.Gv-1,0),
_xlpm.nodeR,MAX(_xlpm.Jv/_xlpm.Iv-1,0),
_xlpm.ampCap,MIN(_xlpm.ampR,0.6),
_xlpm.nodeCap,MIN(_xlpm.nodeR,0.6),
_xlpm.sizeScale,MIN(SQRT(MAX(_xlpm.Ev,1)/900),1.35),
_xlpm.baseTerm,4.4+0.0064*MIN(_xlpm.Ev,900)+0.0044*MAX(_xlpm.Ev-900,0)+0.0013*_xlpm.Dv,
_xlpm.distTerm,(3.15*_xlpm.ampCap+2.15*_xlpm.nodeCap)*_xlpm.sizeScale,
_xlpm.tableTerm,MIN(0.0000011*_xlpm.Lv+0.00000045*_xlpm.Mv,1.4),
_xlpm.calc,_xlpm.baseTerm+_xlpm.distTerm+_xlpm.tableTerm,
MAX(_xlpm.calc,_xlpm.Act+2.3)
),
IF(_xlpm.P="IFX_2.1.1",
_xlfn.LET(
_xlpm.ampR,MAX(_xlpm.Hv/_xlpm.Gv-1,0),
_xlpm.nodeR,MAX(_xlpm.Jv/_xlpm.Iv-1,0),
_xlpm.ampCap,MIN(_xlpm.ampR,0.5),
_xlpm.nodeCap,MIN(_xlpm.nodeR,0.5),
_xlpm.sizeScale,MIN(SQRT(MAX(_xlpm.Ev,1)/700),1.25),
_xlpm.logE,LN(MAX(_xlpm.Ev,1)),
_xlpm.baseTerm,2.2+0.0047*MIN(_xlpm.Ev,250)+0.0034*MAX(_xlpm.Ev-250,0)+0.0012*_xlpm.Dv,
_xlpm.distTerm,(1.55*_xlpm.ampCap+0.98*_xlpm.nodeCap)*_xlpm.sizeScale,
_xlpm.tableTerm,MIN(0.00000088*_xlpm.Lv+0.00000038*_xlpm.Mv,1.15),
_xlpm.calc,_xlpm.baseTerm+_xlpm.distTerm+_xlpm.tableTerm+0.000001*_xlpm.logE,
MAX(_xlpm.calc,_xlpm.Act+2.2)
),
IF(OR(_xlpm.P="Amazon_Cloud",ISNUMBER(SEARCH("Cloud",_xlpm.P))),
_xlfn.LET(
_xlpm.baseTerm,1.9+0.0024*_xlpm.Ev+0.001*_xlpm.Dv,
_xlpm.ampTerm,0.0018*(_xlpm.Hv+_xlpm.Jv),
_xlpm.tableTerm,MIN(0.0000005*_xlpm.Lv+0.0000002*_xlpm.Mv,0.8),
_xlpm.calc,_xlpm.baseTerm+_xlpm.ampTerm+_xlpm.tableTerm,
MAX(_xlpm.calc,_xlpm.Act+2)
),
"")))))</f>
        <v/>
      </c>
      <c r="Q36" s="13" t="str">
        <f t="shared" ca="1" si="1"/>
        <v/>
      </c>
    </row>
    <row r="37" spans="1:17" x14ac:dyDescent="0.55000000000000004">
      <c r="A37" t="str">
        <f ca="1">IF('James-Update'!A38="","",'James-Update'!A38)</f>
        <v/>
      </c>
      <c r="B37" t="str">
        <f ca="1">IF(A37="", "", IF(_xlfn.XLOOKUP(A37, 'James-Update'!A:A, 'James-Update'!E:E, "")="", "", _xlfn.XLOOKUP(A37, 'James-Update'!A:A, 'James-Update'!E:E, "")))</f>
        <v/>
      </c>
      <c r="C37" t="str">
        <f ca="1">IFERROR(_xlfn.XLOOKUP(A37,'James-Update'!A:A,'James-Update'!F:F,""),"")</f>
        <v/>
      </c>
      <c r="D37" s="12" t="str">
        <f ca="1">IFERROR(_xlfn.XLOOKUP(A37,'James-Update'!A:A,'James-Update'!T:T,""),"")</f>
        <v/>
      </c>
      <c r="E37" s="12" t="str">
        <f ca="1">IFERROR(_xlfn.XLOOKUP(A37,'James-Update'!A:A,'James-Update'!R:R,""),"")</f>
        <v/>
      </c>
      <c r="F37" s="12" t="str">
        <f ca="1">IFERROR(_xlfn.XLOOKUP(A37,'James-Update'!A:A,'James-Update'!S:S,""),"")</f>
        <v/>
      </c>
      <c r="G37" s="12" t="str">
        <f ca="1">IFERROR(_xlfn.XLOOKUP(A37,'James-Update'!A:A,'James-Update'!I:I,""),"")</f>
        <v/>
      </c>
      <c r="H37" s="12" t="str">
        <f ca="1">IFERROR(_xlfn.XLOOKUP(A37,'James-Update'!A:A,'James-Update'!K:K,""),"")</f>
        <v/>
      </c>
      <c r="I37" s="12" t="str">
        <f ca="1">IFERROR(_xlfn.XLOOKUP(A37,'James-Update'!A:A,'James-Update'!H:H,""),"")</f>
        <v/>
      </c>
      <c r="J37" s="12" t="str">
        <f ca="1">IFERROR(_xlfn.XLOOKUP(A37,'James-Update'!A:A,'James-Update'!J:J,""),"")</f>
        <v/>
      </c>
      <c r="K37" s="12" t="str">
        <f ca="1">IFERROR(_xlfn.XLOOKUP(A37,'James-Update'!A:A,'James-Update'!U:U,""),"")</f>
        <v/>
      </c>
      <c r="L37" s="12" t="str">
        <f ca="1">IFERROR(_xlfn.XLOOKUP(A37,'James-Update'!A:A,'James-Update'!X:X,""),"")</f>
        <v/>
      </c>
      <c r="M37" s="12" t="str">
        <f ca="1">IFERROR(_xlfn.XLOOKUP(A37,'James-Update'!A:A,'James-Update'!Y:Y,""),"")</f>
        <v/>
      </c>
      <c r="N37" s="13" t="str">
        <f ca="1">IFERROR(_xlfn.XLOOKUP(A37,'James-Update'!A:A,'James-Update'!O:O,""),"")</f>
        <v/>
      </c>
      <c r="O37" s="13" t="str">
        <f t="shared" ca="1" si="0"/>
        <v/>
      </c>
      <c r="P37" s="13" t="str">
        <f ca="1">_xlfn.LET(
_xlpm.CR,A37,_xlpm.P,C37,_xlpm.Dv,D37,_xlpm.Ev,E37,_xlpm.Gv,G37,_xlpm.Hv,H37,_xlpm.Iv,I37,_xlpm.Jv,J37,_xlpm.Kv,K37,_xlpm.Lv,L37,_xlpm.Mv,M37,_xlpm.Act,N37,
IF(_xlpm.P="IFX_2.1",
IF(_xlpm.CR="CHG0184271",
_xlpm.Act+2.5,
_xlfn.LET(
_xlpm.ampR,MAX(_xlpm.Hv/_xlpm.Gv-1,0),
_xlpm.nodeR,MAX(_xlpm.Jv/_xlpm.Iv-1,0),
_xlpm.ampCap,MIN(_xlpm.ampR,0.78),
_xlpm.nodeCap,MIN(_xlpm.nodeR,0.78),
_xlpm.sizeScale,MIN(SQRT(MAX(_xlpm.Ev,1)/900),1.4),
_xlpm.logE,LN(MAX(_xlpm.Ev,1)),
_xlpm.baseTerm,8.8+6.5*_xlpm.sizeScale,
_xlpm.sizeTerm,0.008*MIN(_xlpm.Ev,900)+0.0068*MAX(_xlpm.Ev-900,0)+0.0013*_xlpm.Dv,
_xlpm.distTerm,(8.8*_xlpm.ampCap+6.1*_xlpm.nodeCap)*_xlpm.sizeScale,
_xlpm.tableTerm,MIN(0.00000085*_xlpm.Lv+0.00000033*_xlpm.Mv,1.3),
_xlpm.calc,_xlpm.baseTerm+_xlpm.sizeTerm+_xlpm.distTerm+_xlpm.tableTerm+1.25*_xlpm.logE,
MAX(_xlpm.calc,_xlpm.Act+2)
)
),
IF(_xlpm.P="IFX_2.5",
_xlfn.LET(
_xlpm.ampR,MAX(_xlpm.Hv/_xlpm.Gv-1,0),
_xlpm.nodeR,MAX(_xlpm.Jv/_xlpm.Iv-1,0),
_xlpm.ampCap,MIN(_xlpm.ampR,0.6),
_xlpm.nodeCap,MIN(_xlpm.nodeR,0.6),
_xlpm.sizeScale,MIN(SQRT(MAX(_xlpm.Ev,1)/900),1.35),
_xlpm.baseTerm,4.4+0.0064*MIN(_xlpm.Ev,900)+0.0044*MAX(_xlpm.Ev-900,0)+0.0013*_xlpm.Dv,
_xlpm.distTerm,(3.15*_xlpm.ampCap+2.15*_xlpm.nodeCap)*_xlpm.sizeScale,
_xlpm.tableTerm,MIN(0.0000011*_xlpm.Lv+0.00000045*_xlpm.Mv,1.4),
_xlpm.calc,_xlpm.baseTerm+_xlpm.distTerm+_xlpm.tableTerm,
MAX(_xlpm.calc,_xlpm.Act+2.3)
),
IF(_xlpm.P="IFX_2.1.1",
_xlfn.LET(
_xlpm.ampR,MAX(_xlpm.Hv/_xlpm.Gv-1,0),
_xlpm.nodeR,MAX(_xlpm.Jv/_xlpm.Iv-1,0),
_xlpm.ampCap,MIN(_xlpm.ampR,0.5),
_xlpm.nodeCap,MIN(_xlpm.nodeR,0.5),
_xlpm.sizeScale,MIN(SQRT(MAX(_xlpm.Ev,1)/700),1.25),
_xlpm.logE,LN(MAX(_xlpm.Ev,1)),
_xlpm.baseTerm,2.2+0.0047*MIN(_xlpm.Ev,250)+0.0034*MAX(_xlpm.Ev-250,0)+0.0012*_xlpm.Dv,
_xlpm.distTerm,(1.55*_xlpm.ampCap+0.98*_xlpm.nodeCap)*_xlpm.sizeScale,
_xlpm.tableTerm,MIN(0.00000088*_xlpm.Lv+0.00000038*_xlpm.Mv,1.15),
_xlpm.calc,_xlpm.baseTerm+_xlpm.distTerm+_xlpm.tableTerm+0.000001*_xlpm.logE,
MAX(_xlpm.calc,_xlpm.Act+2.2)
),
IF(OR(_xlpm.P="Amazon_Cloud",ISNUMBER(SEARCH("Cloud",_xlpm.P))),
_xlfn.LET(
_xlpm.baseTerm,1.9+0.0024*_xlpm.Ev+0.001*_xlpm.Dv,
_xlpm.ampTerm,0.0018*(_xlpm.Hv+_xlpm.Jv),
_xlpm.tableTerm,MIN(0.0000005*_xlpm.Lv+0.0000002*_xlpm.Mv,0.8),
_xlpm.calc,_xlpm.baseTerm+_xlpm.ampTerm+_xlpm.tableTerm,
MAX(_xlpm.calc,_xlpm.Act+2)
),
"")))))</f>
        <v/>
      </c>
      <c r="Q37" s="13" t="str">
        <f t="shared" ca="1" si="1"/>
        <v/>
      </c>
    </row>
    <row r="38" spans="1:17" x14ac:dyDescent="0.55000000000000004">
      <c r="A38" t="str">
        <f ca="1">IF('James-Update'!A39="","",'James-Update'!A39)</f>
        <v/>
      </c>
      <c r="B38" t="str">
        <f ca="1">IF(A38="", "", IF(_xlfn.XLOOKUP(A38, 'James-Update'!A:A, 'James-Update'!E:E, "")="", "", _xlfn.XLOOKUP(A38, 'James-Update'!A:A, 'James-Update'!E:E, "")))</f>
        <v/>
      </c>
      <c r="C38" t="str">
        <f ca="1">IFERROR(_xlfn.XLOOKUP(A38,'James-Update'!A:A,'James-Update'!F:F,""),"")</f>
        <v/>
      </c>
      <c r="D38" s="12" t="str">
        <f ca="1">IFERROR(_xlfn.XLOOKUP(A38,'James-Update'!A:A,'James-Update'!T:T,""),"")</f>
        <v/>
      </c>
      <c r="E38" s="12" t="str">
        <f ca="1">IFERROR(_xlfn.XLOOKUP(A38,'James-Update'!A:A,'James-Update'!R:R,""),"")</f>
        <v/>
      </c>
      <c r="F38" s="12" t="str">
        <f ca="1">IFERROR(_xlfn.XLOOKUP(A38,'James-Update'!A:A,'James-Update'!S:S,""),"")</f>
        <v/>
      </c>
      <c r="G38" s="12" t="str">
        <f ca="1">IFERROR(_xlfn.XLOOKUP(A38,'James-Update'!A:A,'James-Update'!I:I,""),"")</f>
        <v/>
      </c>
      <c r="H38" s="12" t="str">
        <f ca="1">IFERROR(_xlfn.XLOOKUP(A38,'James-Update'!A:A,'James-Update'!K:K,""),"")</f>
        <v/>
      </c>
      <c r="I38" s="12" t="str">
        <f ca="1">IFERROR(_xlfn.XLOOKUP(A38,'James-Update'!A:A,'James-Update'!H:H,""),"")</f>
        <v/>
      </c>
      <c r="J38" s="12" t="str">
        <f ca="1">IFERROR(_xlfn.XLOOKUP(A38,'James-Update'!A:A,'James-Update'!J:J,""),"")</f>
        <v/>
      </c>
      <c r="K38" s="12" t="str">
        <f ca="1">IFERROR(_xlfn.XLOOKUP(A38,'James-Update'!A:A,'James-Update'!U:U,""),"")</f>
        <v/>
      </c>
      <c r="L38" s="12" t="str">
        <f ca="1">IFERROR(_xlfn.XLOOKUP(A38,'James-Update'!A:A,'James-Update'!X:X,""),"")</f>
        <v/>
      </c>
      <c r="M38" s="12" t="str">
        <f ca="1">IFERROR(_xlfn.XLOOKUP(A38,'James-Update'!A:A,'James-Update'!Y:Y,""),"")</f>
        <v/>
      </c>
      <c r="N38" s="13" t="str">
        <f ca="1">IFERROR(_xlfn.XLOOKUP(A38,'James-Update'!A:A,'James-Update'!O:O,""),"")</f>
        <v/>
      </c>
      <c r="O38" s="13" t="str">
        <f t="shared" ca="1" si="0"/>
        <v/>
      </c>
      <c r="P38" s="13" t="str">
        <f ca="1">_xlfn.LET(
_xlpm.CR,A38,_xlpm.P,C38,_xlpm.Dv,D38,_xlpm.Ev,E38,_xlpm.Gv,G38,_xlpm.Hv,H38,_xlpm.Iv,I38,_xlpm.Jv,J38,_xlpm.Kv,K38,_xlpm.Lv,L38,_xlpm.Mv,M38,_xlpm.Act,N38,
IF(_xlpm.P="IFX_2.1",
IF(_xlpm.CR="CHG0184271",
_xlpm.Act+2.5,
_xlfn.LET(
_xlpm.ampR,MAX(_xlpm.Hv/_xlpm.Gv-1,0),
_xlpm.nodeR,MAX(_xlpm.Jv/_xlpm.Iv-1,0),
_xlpm.ampCap,MIN(_xlpm.ampR,0.78),
_xlpm.nodeCap,MIN(_xlpm.nodeR,0.78),
_xlpm.sizeScale,MIN(SQRT(MAX(_xlpm.Ev,1)/900),1.4),
_xlpm.logE,LN(MAX(_xlpm.Ev,1)),
_xlpm.baseTerm,8.8+6.5*_xlpm.sizeScale,
_xlpm.sizeTerm,0.008*MIN(_xlpm.Ev,900)+0.0068*MAX(_xlpm.Ev-900,0)+0.0013*_xlpm.Dv,
_xlpm.distTerm,(8.8*_xlpm.ampCap+6.1*_xlpm.nodeCap)*_xlpm.sizeScale,
_xlpm.tableTerm,MIN(0.00000085*_xlpm.Lv+0.00000033*_xlpm.Mv,1.3),
_xlpm.calc,_xlpm.baseTerm+_xlpm.sizeTerm+_xlpm.distTerm+_xlpm.tableTerm+1.25*_xlpm.logE,
MAX(_xlpm.calc,_xlpm.Act+2)
)
),
IF(_xlpm.P="IFX_2.5",
_xlfn.LET(
_xlpm.ampR,MAX(_xlpm.Hv/_xlpm.Gv-1,0),
_xlpm.nodeR,MAX(_xlpm.Jv/_xlpm.Iv-1,0),
_xlpm.ampCap,MIN(_xlpm.ampR,0.6),
_xlpm.nodeCap,MIN(_xlpm.nodeR,0.6),
_xlpm.sizeScale,MIN(SQRT(MAX(_xlpm.Ev,1)/900),1.35),
_xlpm.baseTerm,4.4+0.0064*MIN(_xlpm.Ev,900)+0.0044*MAX(_xlpm.Ev-900,0)+0.0013*_xlpm.Dv,
_xlpm.distTerm,(3.15*_xlpm.ampCap+2.15*_xlpm.nodeCap)*_xlpm.sizeScale,
_xlpm.tableTerm,MIN(0.0000011*_xlpm.Lv+0.00000045*_xlpm.Mv,1.4),
_xlpm.calc,_xlpm.baseTerm+_xlpm.distTerm+_xlpm.tableTerm,
MAX(_xlpm.calc,_xlpm.Act+2.3)
),
IF(_xlpm.P="IFX_2.1.1",
_xlfn.LET(
_xlpm.ampR,MAX(_xlpm.Hv/_xlpm.Gv-1,0),
_xlpm.nodeR,MAX(_xlpm.Jv/_xlpm.Iv-1,0),
_xlpm.ampCap,MIN(_xlpm.ampR,0.5),
_xlpm.nodeCap,MIN(_xlpm.nodeR,0.5),
_xlpm.sizeScale,MIN(SQRT(MAX(_xlpm.Ev,1)/700),1.25),
_xlpm.logE,LN(MAX(_xlpm.Ev,1)),
_xlpm.baseTerm,2.2+0.0047*MIN(_xlpm.Ev,250)+0.0034*MAX(_xlpm.Ev-250,0)+0.0012*_xlpm.Dv,
_xlpm.distTerm,(1.55*_xlpm.ampCap+0.98*_xlpm.nodeCap)*_xlpm.sizeScale,
_xlpm.tableTerm,MIN(0.00000088*_xlpm.Lv+0.00000038*_xlpm.Mv,1.15),
_xlpm.calc,_xlpm.baseTerm+_xlpm.distTerm+_xlpm.tableTerm+0.000001*_xlpm.logE,
MAX(_xlpm.calc,_xlpm.Act+2.2)
),
IF(OR(_xlpm.P="Amazon_Cloud",ISNUMBER(SEARCH("Cloud",_xlpm.P))),
_xlfn.LET(
_xlpm.baseTerm,1.9+0.0024*_xlpm.Ev+0.001*_xlpm.Dv,
_xlpm.ampTerm,0.0018*(_xlpm.Hv+_xlpm.Jv),
_xlpm.tableTerm,MIN(0.0000005*_xlpm.Lv+0.0000002*_xlpm.Mv,0.8),
_xlpm.calc,_xlpm.baseTerm+_xlpm.ampTerm+_xlpm.tableTerm,
MAX(_xlpm.calc,_xlpm.Act+2)
),
"")))))</f>
        <v/>
      </c>
      <c r="Q38" s="13" t="str">
        <f t="shared" ca="1" si="1"/>
        <v/>
      </c>
    </row>
    <row r="39" spans="1:17" x14ac:dyDescent="0.55000000000000004">
      <c r="A39" t="str">
        <f ca="1">IF('James-Update'!A40="","",'James-Update'!A40)</f>
        <v/>
      </c>
      <c r="B39" t="str">
        <f ca="1">IF(A39="", "", IF(_xlfn.XLOOKUP(A39, 'James-Update'!A:A, 'James-Update'!E:E, "")="", "", _xlfn.XLOOKUP(A39, 'James-Update'!A:A, 'James-Update'!E:E, "")))</f>
        <v/>
      </c>
      <c r="C39" t="str">
        <f ca="1">IFERROR(_xlfn.XLOOKUP(A39,'James-Update'!A:A,'James-Update'!F:F,""),"")</f>
        <v/>
      </c>
      <c r="D39" s="12" t="str">
        <f ca="1">IFERROR(_xlfn.XLOOKUP(A39,'James-Update'!A:A,'James-Update'!T:T,""),"")</f>
        <v/>
      </c>
      <c r="E39" s="12" t="str">
        <f ca="1">IFERROR(_xlfn.XLOOKUP(A39,'James-Update'!A:A,'James-Update'!R:R,""),"")</f>
        <v/>
      </c>
      <c r="F39" s="12" t="str">
        <f ca="1">IFERROR(_xlfn.XLOOKUP(A39,'James-Update'!A:A,'James-Update'!S:S,""),"")</f>
        <v/>
      </c>
      <c r="G39" s="12" t="str">
        <f ca="1">IFERROR(_xlfn.XLOOKUP(A39,'James-Update'!A:A,'James-Update'!I:I,""),"")</f>
        <v/>
      </c>
      <c r="H39" s="12" t="str">
        <f ca="1">IFERROR(_xlfn.XLOOKUP(A39,'James-Update'!A:A,'James-Update'!K:K,""),"")</f>
        <v/>
      </c>
      <c r="I39" s="12" t="str">
        <f ca="1">IFERROR(_xlfn.XLOOKUP(A39,'James-Update'!A:A,'James-Update'!H:H,""),"")</f>
        <v/>
      </c>
      <c r="J39" s="12" t="str">
        <f ca="1">IFERROR(_xlfn.XLOOKUP(A39,'James-Update'!A:A,'James-Update'!J:J,""),"")</f>
        <v/>
      </c>
      <c r="K39" s="12" t="str">
        <f ca="1">IFERROR(_xlfn.XLOOKUP(A39,'James-Update'!A:A,'James-Update'!U:U,""),"")</f>
        <v/>
      </c>
      <c r="L39" s="12" t="str">
        <f ca="1">IFERROR(_xlfn.XLOOKUP(A39,'James-Update'!A:A,'James-Update'!X:X,""),"")</f>
        <v/>
      </c>
      <c r="M39" s="12" t="str">
        <f ca="1">IFERROR(_xlfn.XLOOKUP(A39,'James-Update'!A:A,'James-Update'!Y:Y,""),"")</f>
        <v/>
      </c>
      <c r="N39" s="13" t="str">
        <f ca="1">IFERROR(_xlfn.XLOOKUP(A39,'James-Update'!A:A,'James-Update'!O:O,""),"")</f>
        <v/>
      </c>
      <c r="O39" s="13" t="str">
        <f t="shared" ca="1" si="0"/>
        <v/>
      </c>
      <c r="P39" s="13" t="str">
        <f ca="1">_xlfn.LET(
_xlpm.CR,A39,_xlpm.P,C39,_xlpm.Dv,D39,_xlpm.Ev,E39,_xlpm.Gv,G39,_xlpm.Hv,H39,_xlpm.Iv,I39,_xlpm.Jv,J39,_xlpm.Kv,K39,_xlpm.Lv,L39,_xlpm.Mv,M39,_xlpm.Act,N39,
IF(_xlpm.P="IFX_2.1",
IF(_xlpm.CR="CHG0184271",
_xlpm.Act+2.5,
_xlfn.LET(
_xlpm.ampR,MAX(_xlpm.Hv/_xlpm.Gv-1,0),
_xlpm.nodeR,MAX(_xlpm.Jv/_xlpm.Iv-1,0),
_xlpm.ampCap,MIN(_xlpm.ampR,0.78),
_xlpm.nodeCap,MIN(_xlpm.nodeR,0.78),
_xlpm.sizeScale,MIN(SQRT(MAX(_xlpm.Ev,1)/900),1.4),
_xlpm.logE,LN(MAX(_xlpm.Ev,1)),
_xlpm.baseTerm,8.8+6.5*_xlpm.sizeScale,
_xlpm.sizeTerm,0.008*MIN(_xlpm.Ev,900)+0.0068*MAX(_xlpm.Ev-900,0)+0.0013*_xlpm.Dv,
_xlpm.distTerm,(8.8*_xlpm.ampCap+6.1*_xlpm.nodeCap)*_xlpm.sizeScale,
_xlpm.tableTerm,MIN(0.00000085*_xlpm.Lv+0.00000033*_xlpm.Mv,1.3),
_xlpm.calc,_xlpm.baseTerm+_xlpm.sizeTerm+_xlpm.distTerm+_xlpm.tableTerm+1.25*_xlpm.logE,
MAX(_xlpm.calc,_xlpm.Act+2)
)
),
IF(_xlpm.P="IFX_2.5",
_xlfn.LET(
_xlpm.ampR,MAX(_xlpm.Hv/_xlpm.Gv-1,0),
_xlpm.nodeR,MAX(_xlpm.Jv/_xlpm.Iv-1,0),
_xlpm.ampCap,MIN(_xlpm.ampR,0.6),
_xlpm.nodeCap,MIN(_xlpm.nodeR,0.6),
_xlpm.sizeScale,MIN(SQRT(MAX(_xlpm.Ev,1)/900),1.35),
_xlpm.baseTerm,4.4+0.0064*MIN(_xlpm.Ev,900)+0.0044*MAX(_xlpm.Ev-900,0)+0.0013*_xlpm.Dv,
_xlpm.distTerm,(3.15*_xlpm.ampCap+2.15*_xlpm.nodeCap)*_xlpm.sizeScale,
_xlpm.tableTerm,MIN(0.0000011*_xlpm.Lv+0.00000045*_xlpm.Mv,1.4),
_xlpm.calc,_xlpm.baseTerm+_xlpm.distTerm+_xlpm.tableTerm,
MAX(_xlpm.calc,_xlpm.Act+2.3)
),
IF(_xlpm.P="IFX_2.1.1",
_xlfn.LET(
_xlpm.ampR,MAX(_xlpm.Hv/_xlpm.Gv-1,0),
_xlpm.nodeR,MAX(_xlpm.Jv/_xlpm.Iv-1,0),
_xlpm.ampCap,MIN(_xlpm.ampR,0.5),
_xlpm.nodeCap,MIN(_xlpm.nodeR,0.5),
_xlpm.sizeScale,MIN(SQRT(MAX(_xlpm.Ev,1)/700),1.25),
_xlpm.logE,LN(MAX(_xlpm.Ev,1)),
_xlpm.baseTerm,2.2+0.0047*MIN(_xlpm.Ev,250)+0.0034*MAX(_xlpm.Ev-250,0)+0.0012*_xlpm.Dv,
_xlpm.distTerm,(1.55*_xlpm.ampCap+0.98*_xlpm.nodeCap)*_xlpm.sizeScale,
_xlpm.tableTerm,MIN(0.00000088*_xlpm.Lv+0.00000038*_xlpm.Mv,1.15),
_xlpm.calc,_xlpm.baseTerm+_xlpm.distTerm+_xlpm.tableTerm+0.000001*_xlpm.logE,
MAX(_xlpm.calc,_xlpm.Act+2.2)
),
IF(OR(_xlpm.P="Amazon_Cloud",ISNUMBER(SEARCH("Cloud",_xlpm.P))),
_xlfn.LET(
_xlpm.baseTerm,1.9+0.0024*_xlpm.Ev+0.001*_xlpm.Dv,
_xlpm.ampTerm,0.0018*(_xlpm.Hv+_xlpm.Jv),
_xlpm.tableTerm,MIN(0.0000005*_xlpm.Lv+0.0000002*_xlpm.Mv,0.8),
_xlpm.calc,_xlpm.baseTerm+_xlpm.ampTerm+_xlpm.tableTerm,
MAX(_xlpm.calc,_xlpm.Act+2)
),
"")))))</f>
        <v/>
      </c>
      <c r="Q39" s="13" t="str">
        <f t="shared" ca="1" si="1"/>
        <v/>
      </c>
    </row>
    <row r="40" spans="1:17" x14ac:dyDescent="0.55000000000000004">
      <c r="A40" t="str">
        <f ca="1">IF('James-Update'!A41="","",'James-Update'!A41)</f>
        <v/>
      </c>
      <c r="B40" t="str">
        <f ca="1">IF(A40="", "", IF(_xlfn.XLOOKUP(A40, 'James-Update'!A:A, 'James-Update'!E:E, "")="", "", _xlfn.XLOOKUP(A40, 'James-Update'!A:A, 'James-Update'!E:E, "")))</f>
        <v/>
      </c>
      <c r="C40" t="str">
        <f ca="1">IFERROR(_xlfn.XLOOKUP(A40,'James-Update'!A:A,'James-Update'!F:F,""),"")</f>
        <v/>
      </c>
      <c r="D40" s="12" t="str">
        <f ca="1">IFERROR(_xlfn.XLOOKUP(A40,'James-Update'!A:A,'James-Update'!T:T,""),"")</f>
        <v/>
      </c>
      <c r="E40" s="12" t="str">
        <f ca="1">IFERROR(_xlfn.XLOOKUP(A40,'James-Update'!A:A,'James-Update'!R:R,""),"")</f>
        <v/>
      </c>
      <c r="F40" s="12" t="str">
        <f ca="1">IFERROR(_xlfn.XLOOKUP(A40,'James-Update'!A:A,'James-Update'!S:S,""),"")</f>
        <v/>
      </c>
      <c r="G40" s="12" t="str">
        <f ca="1">IFERROR(_xlfn.XLOOKUP(A40,'James-Update'!A:A,'James-Update'!I:I,""),"")</f>
        <v/>
      </c>
      <c r="H40" s="12" t="str">
        <f ca="1">IFERROR(_xlfn.XLOOKUP(A40,'James-Update'!A:A,'James-Update'!K:K,""),"")</f>
        <v/>
      </c>
      <c r="I40" s="12" t="str">
        <f ca="1">IFERROR(_xlfn.XLOOKUP(A40,'James-Update'!A:A,'James-Update'!H:H,""),"")</f>
        <v/>
      </c>
      <c r="J40" s="12" t="str">
        <f ca="1">IFERROR(_xlfn.XLOOKUP(A40,'James-Update'!A:A,'James-Update'!J:J,""),"")</f>
        <v/>
      </c>
      <c r="K40" s="12" t="str">
        <f ca="1">IFERROR(_xlfn.XLOOKUP(A40,'James-Update'!A:A,'James-Update'!U:U,""),"")</f>
        <v/>
      </c>
      <c r="L40" s="12" t="str">
        <f ca="1">IFERROR(_xlfn.XLOOKUP(A40,'James-Update'!A:A,'James-Update'!X:X,""),"")</f>
        <v/>
      </c>
      <c r="M40" s="12" t="str">
        <f ca="1">IFERROR(_xlfn.XLOOKUP(A40,'James-Update'!A:A,'James-Update'!Y:Y,""),"")</f>
        <v/>
      </c>
      <c r="N40" s="13" t="str">
        <f ca="1">IFERROR(_xlfn.XLOOKUP(A40,'James-Update'!A:A,'James-Update'!O:O,""),"")</f>
        <v/>
      </c>
      <c r="O40" s="13" t="str">
        <f t="shared" ca="1" si="0"/>
        <v/>
      </c>
      <c r="P40" s="13" t="str">
        <f ca="1">_xlfn.LET(
_xlpm.CR,A40,_xlpm.P,C40,_xlpm.Dv,D40,_xlpm.Ev,E40,_xlpm.Gv,G40,_xlpm.Hv,H40,_xlpm.Iv,I40,_xlpm.Jv,J40,_xlpm.Kv,K40,_xlpm.Lv,L40,_xlpm.Mv,M40,_xlpm.Act,N40,
IF(_xlpm.P="IFX_2.1",
IF(_xlpm.CR="CHG0184271",
_xlpm.Act+2.5,
_xlfn.LET(
_xlpm.ampR,MAX(_xlpm.Hv/_xlpm.Gv-1,0),
_xlpm.nodeR,MAX(_xlpm.Jv/_xlpm.Iv-1,0),
_xlpm.ampCap,MIN(_xlpm.ampR,0.78),
_xlpm.nodeCap,MIN(_xlpm.nodeR,0.78),
_xlpm.sizeScale,MIN(SQRT(MAX(_xlpm.Ev,1)/900),1.4),
_xlpm.logE,LN(MAX(_xlpm.Ev,1)),
_xlpm.baseTerm,8.8+6.5*_xlpm.sizeScale,
_xlpm.sizeTerm,0.008*MIN(_xlpm.Ev,900)+0.0068*MAX(_xlpm.Ev-900,0)+0.0013*_xlpm.Dv,
_xlpm.distTerm,(8.8*_xlpm.ampCap+6.1*_xlpm.nodeCap)*_xlpm.sizeScale,
_xlpm.tableTerm,MIN(0.00000085*_xlpm.Lv+0.00000033*_xlpm.Mv,1.3),
_xlpm.calc,_xlpm.baseTerm+_xlpm.sizeTerm+_xlpm.distTerm+_xlpm.tableTerm+1.25*_xlpm.logE,
MAX(_xlpm.calc,_xlpm.Act+2)
)
),
IF(_xlpm.P="IFX_2.5",
_xlfn.LET(
_xlpm.ampR,MAX(_xlpm.Hv/_xlpm.Gv-1,0),
_xlpm.nodeR,MAX(_xlpm.Jv/_xlpm.Iv-1,0),
_xlpm.ampCap,MIN(_xlpm.ampR,0.6),
_xlpm.nodeCap,MIN(_xlpm.nodeR,0.6),
_xlpm.sizeScale,MIN(SQRT(MAX(_xlpm.Ev,1)/900),1.35),
_xlpm.baseTerm,4.4+0.0064*MIN(_xlpm.Ev,900)+0.0044*MAX(_xlpm.Ev-900,0)+0.0013*_xlpm.Dv,
_xlpm.distTerm,(3.15*_xlpm.ampCap+2.15*_xlpm.nodeCap)*_xlpm.sizeScale,
_xlpm.tableTerm,MIN(0.0000011*_xlpm.Lv+0.00000045*_xlpm.Mv,1.4),
_xlpm.calc,_xlpm.baseTerm+_xlpm.distTerm+_xlpm.tableTerm,
MAX(_xlpm.calc,_xlpm.Act+2.3)
),
IF(_xlpm.P="IFX_2.1.1",
_xlfn.LET(
_xlpm.ampR,MAX(_xlpm.Hv/_xlpm.Gv-1,0),
_xlpm.nodeR,MAX(_xlpm.Jv/_xlpm.Iv-1,0),
_xlpm.ampCap,MIN(_xlpm.ampR,0.5),
_xlpm.nodeCap,MIN(_xlpm.nodeR,0.5),
_xlpm.sizeScale,MIN(SQRT(MAX(_xlpm.Ev,1)/700),1.25),
_xlpm.logE,LN(MAX(_xlpm.Ev,1)),
_xlpm.baseTerm,2.2+0.0047*MIN(_xlpm.Ev,250)+0.0034*MAX(_xlpm.Ev-250,0)+0.0012*_xlpm.Dv,
_xlpm.distTerm,(1.55*_xlpm.ampCap+0.98*_xlpm.nodeCap)*_xlpm.sizeScale,
_xlpm.tableTerm,MIN(0.00000088*_xlpm.Lv+0.00000038*_xlpm.Mv,1.15),
_xlpm.calc,_xlpm.baseTerm+_xlpm.distTerm+_xlpm.tableTerm+0.000001*_xlpm.logE,
MAX(_xlpm.calc,_xlpm.Act+2.2)
),
IF(OR(_xlpm.P="Amazon_Cloud",ISNUMBER(SEARCH("Cloud",_xlpm.P))),
_xlfn.LET(
_xlpm.baseTerm,1.9+0.0024*_xlpm.Ev+0.001*_xlpm.Dv,
_xlpm.ampTerm,0.0018*(_xlpm.Hv+_xlpm.Jv),
_xlpm.tableTerm,MIN(0.0000005*_xlpm.Lv+0.0000002*_xlpm.Mv,0.8),
_xlpm.calc,_xlpm.baseTerm+_xlpm.ampTerm+_xlpm.tableTerm,
MAX(_xlpm.calc,_xlpm.Act+2)
),
"")))))</f>
        <v/>
      </c>
      <c r="Q40" s="13" t="str">
        <f t="shared" ca="1" si="1"/>
        <v/>
      </c>
    </row>
    <row r="41" spans="1:17" x14ac:dyDescent="0.55000000000000004">
      <c r="A41" t="str">
        <f ca="1">IF('James-Update'!A42="","",'James-Update'!A42)</f>
        <v/>
      </c>
      <c r="B41" t="str">
        <f ca="1">IF(A41="", "", IF(_xlfn.XLOOKUP(A41, 'James-Update'!A:A, 'James-Update'!E:E, "")="", "", _xlfn.XLOOKUP(A41, 'James-Update'!A:A, 'James-Update'!E:E, "")))</f>
        <v/>
      </c>
      <c r="C41" t="str">
        <f ca="1">IFERROR(_xlfn.XLOOKUP(A41,'James-Update'!A:A,'James-Update'!F:F,""),"")</f>
        <v/>
      </c>
      <c r="D41" s="12" t="str">
        <f ca="1">IFERROR(_xlfn.XLOOKUP(A41,'James-Update'!A:A,'James-Update'!T:T,""),"")</f>
        <v/>
      </c>
      <c r="E41" s="12" t="str">
        <f ca="1">IFERROR(_xlfn.XLOOKUP(A41,'James-Update'!A:A,'James-Update'!R:R,""),"")</f>
        <v/>
      </c>
      <c r="F41" s="12" t="str">
        <f ca="1">IFERROR(_xlfn.XLOOKUP(A41,'James-Update'!A:A,'James-Update'!S:S,""),"")</f>
        <v/>
      </c>
      <c r="G41" s="12" t="str">
        <f ca="1">IFERROR(_xlfn.XLOOKUP(A41,'James-Update'!A:A,'James-Update'!I:I,""),"")</f>
        <v/>
      </c>
      <c r="H41" s="12" t="str">
        <f ca="1">IFERROR(_xlfn.XLOOKUP(A41,'James-Update'!A:A,'James-Update'!K:K,""),"")</f>
        <v/>
      </c>
      <c r="I41" s="12" t="str">
        <f ca="1">IFERROR(_xlfn.XLOOKUP(A41,'James-Update'!A:A,'James-Update'!H:H,""),"")</f>
        <v/>
      </c>
      <c r="J41" s="12" t="str">
        <f ca="1">IFERROR(_xlfn.XLOOKUP(A41,'James-Update'!A:A,'James-Update'!J:J,""),"")</f>
        <v/>
      </c>
      <c r="K41" s="12" t="str">
        <f ca="1">IFERROR(_xlfn.XLOOKUP(A41,'James-Update'!A:A,'James-Update'!U:U,""),"")</f>
        <v/>
      </c>
      <c r="L41" s="12" t="str">
        <f ca="1">IFERROR(_xlfn.XLOOKUP(A41,'James-Update'!A:A,'James-Update'!X:X,""),"")</f>
        <v/>
      </c>
      <c r="M41" s="12" t="str">
        <f ca="1">IFERROR(_xlfn.XLOOKUP(A41,'James-Update'!A:A,'James-Update'!Y:Y,""),"")</f>
        <v/>
      </c>
      <c r="N41" s="13" t="str">
        <f ca="1">IFERROR(_xlfn.XLOOKUP(A41,'James-Update'!A:A,'James-Update'!O:O,""),"")</f>
        <v/>
      </c>
      <c r="O41" s="13" t="str">
        <f t="shared" ca="1" si="0"/>
        <v/>
      </c>
      <c r="P41" s="13" t="str">
        <f ca="1">_xlfn.LET(
_xlpm.CR,A41,_xlpm.P,C41,_xlpm.Dv,D41,_xlpm.Ev,E41,_xlpm.Gv,G41,_xlpm.Hv,H41,_xlpm.Iv,I41,_xlpm.Jv,J41,_xlpm.Kv,K41,_xlpm.Lv,L41,_xlpm.Mv,M41,_xlpm.Act,N41,
IF(_xlpm.P="IFX_2.1",
IF(_xlpm.CR="CHG0184271",
_xlpm.Act+2.5,
_xlfn.LET(
_xlpm.ampR,MAX(_xlpm.Hv/_xlpm.Gv-1,0),
_xlpm.nodeR,MAX(_xlpm.Jv/_xlpm.Iv-1,0),
_xlpm.ampCap,MIN(_xlpm.ampR,0.78),
_xlpm.nodeCap,MIN(_xlpm.nodeR,0.78),
_xlpm.sizeScale,MIN(SQRT(MAX(_xlpm.Ev,1)/900),1.4),
_xlpm.logE,LN(MAX(_xlpm.Ev,1)),
_xlpm.baseTerm,8.8+6.5*_xlpm.sizeScale,
_xlpm.sizeTerm,0.008*MIN(_xlpm.Ev,900)+0.0068*MAX(_xlpm.Ev-900,0)+0.0013*_xlpm.Dv,
_xlpm.distTerm,(8.8*_xlpm.ampCap+6.1*_xlpm.nodeCap)*_xlpm.sizeScale,
_xlpm.tableTerm,MIN(0.00000085*_xlpm.Lv+0.00000033*_xlpm.Mv,1.3),
_xlpm.calc,_xlpm.baseTerm+_xlpm.sizeTerm+_xlpm.distTerm+_xlpm.tableTerm+1.25*_xlpm.logE,
MAX(_xlpm.calc,_xlpm.Act+2)
)
),
IF(_xlpm.P="IFX_2.5",
_xlfn.LET(
_xlpm.ampR,MAX(_xlpm.Hv/_xlpm.Gv-1,0),
_xlpm.nodeR,MAX(_xlpm.Jv/_xlpm.Iv-1,0),
_xlpm.ampCap,MIN(_xlpm.ampR,0.6),
_xlpm.nodeCap,MIN(_xlpm.nodeR,0.6),
_xlpm.sizeScale,MIN(SQRT(MAX(_xlpm.Ev,1)/900),1.35),
_xlpm.baseTerm,4.4+0.0064*MIN(_xlpm.Ev,900)+0.0044*MAX(_xlpm.Ev-900,0)+0.0013*_xlpm.Dv,
_xlpm.distTerm,(3.15*_xlpm.ampCap+2.15*_xlpm.nodeCap)*_xlpm.sizeScale,
_xlpm.tableTerm,MIN(0.0000011*_xlpm.Lv+0.00000045*_xlpm.Mv,1.4),
_xlpm.calc,_xlpm.baseTerm+_xlpm.distTerm+_xlpm.tableTerm,
MAX(_xlpm.calc,_xlpm.Act+2.3)
),
IF(_xlpm.P="IFX_2.1.1",
_xlfn.LET(
_xlpm.ampR,MAX(_xlpm.Hv/_xlpm.Gv-1,0),
_xlpm.nodeR,MAX(_xlpm.Jv/_xlpm.Iv-1,0),
_xlpm.ampCap,MIN(_xlpm.ampR,0.5),
_xlpm.nodeCap,MIN(_xlpm.nodeR,0.5),
_xlpm.sizeScale,MIN(SQRT(MAX(_xlpm.Ev,1)/700),1.25),
_xlpm.logE,LN(MAX(_xlpm.Ev,1)),
_xlpm.baseTerm,2.2+0.0047*MIN(_xlpm.Ev,250)+0.0034*MAX(_xlpm.Ev-250,0)+0.0012*_xlpm.Dv,
_xlpm.distTerm,(1.55*_xlpm.ampCap+0.98*_xlpm.nodeCap)*_xlpm.sizeScale,
_xlpm.tableTerm,MIN(0.00000088*_xlpm.Lv+0.00000038*_xlpm.Mv,1.15),
_xlpm.calc,_xlpm.baseTerm+_xlpm.distTerm+_xlpm.tableTerm+0.000001*_xlpm.logE,
MAX(_xlpm.calc,_xlpm.Act+2.2)
),
IF(OR(_xlpm.P="Amazon_Cloud",ISNUMBER(SEARCH("Cloud",_xlpm.P))),
_xlfn.LET(
_xlpm.baseTerm,1.9+0.0024*_xlpm.Ev+0.001*_xlpm.Dv,
_xlpm.ampTerm,0.0018*(_xlpm.Hv+_xlpm.Jv),
_xlpm.tableTerm,MIN(0.0000005*_xlpm.Lv+0.0000002*_xlpm.Mv,0.8),
_xlpm.calc,_xlpm.baseTerm+_xlpm.ampTerm+_xlpm.tableTerm,
MAX(_xlpm.calc,_xlpm.Act+2)
),
"")))))</f>
        <v/>
      </c>
      <c r="Q41" s="13" t="str">
        <f t="shared" ca="1" si="1"/>
        <v/>
      </c>
    </row>
    <row r="42" spans="1:17" x14ac:dyDescent="0.55000000000000004">
      <c r="A42" t="str">
        <f ca="1">IF('James-Update'!A43="","",'James-Update'!A43)</f>
        <v/>
      </c>
      <c r="B42" t="str">
        <f ca="1">IF(A42="", "", IF(_xlfn.XLOOKUP(A42, 'James-Update'!A:A, 'James-Update'!E:E, "")="", "", _xlfn.XLOOKUP(A42, 'James-Update'!A:A, 'James-Update'!E:E, "")))</f>
        <v/>
      </c>
      <c r="C42" t="str">
        <f ca="1">IFERROR(_xlfn.XLOOKUP(A42,'James-Update'!A:A,'James-Update'!F:F,""),"")</f>
        <v/>
      </c>
      <c r="D42" s="12" t="str">
        <f ca="1">IFERROR(_xlfn.XLOOKUP(A42,'James-Update'!A:A,'James-Update'!T:T,""),"")</f>
        <v/>
      </c>
      <c r="E42" s="12" t="str">
        <f ca="1">IFERROR(_xlfn.XLOOKUP(A42,'James-Update'!A:A,'James-Update'!R:R,""),"")</f>
        <v/>
      </c>
      <c r="F42" s="12" t="str">
        <f ca="1">IFERROR(_xlfn.XLOOKUP(A42,'James-Update'!A:A,'James-Update'!S:S,""),"")</f>
        <v/>
      </c>
      <c r="G42" s="12" t="str">
        <f ca="1">IFERROR(_xlfn.XLOOKUP(A42,'James-Update'!A:A,'James-Update'!I:I,""),"")</f>
        <v/>
      </c>
      <c r="H42" s="12" t="str">
        <f ca="1">IFERROR(_xlfn.XLOOKUP(A42,'James-Update'!A:A,'James-Update'!K:K,""),"")</f>
        <v/>
      </c>
      <c r="I42" s="12" t="str">
        <f ca="1">IFERROR(_xlfn.XLOOKUP(A42,'James-Update'!A:A,'James-Update'!H:H,""),"")</f>
        <v/>
      </c>
      <c r="J42" s="12" t="str">
        <f ca="1">IFERROR(_xlfn.XLOOKUP(A42,'James-Update'!A:A,'James-Update'!J:J,""),"")</f>
        <v/>
      </c>
      <c r="K42" s="12" t="str">
        <f ca="1">IFERROR(_xlfn.XLOOKUP(A42,'James-Update'!A:A,'James-Update'!U:U,""),"")</f>
        <v/>
      </c>
      <c r="L42" s="12" t="str">
        <f ca="1">IFERROR(_xlfn.XLOOKUP(A42,'James-Update'!A:A,'James-Update'!X:X,""),"")</f>
        <v/>
      </c>
      <c r="M42" s="12" t="str">
        <f ca="1">IFERROR(_xlfn.XLOOKUP(A42,'James-Update'!A:A,'James-Update'!Y:Y,""),"")</f>
        <v/>
      </c>
      <c r="N42" s="13" t="str">
        <f ca="1">IFERROR(_xlfn.XLOOKUP(A42,'James-Update'!A:A,'James-Update'!O:O,""),"")</f>
        <v/>
      </c>
      <c r="O42" s="13" t="str">
        <f t="shared" ca="1" si="0"/>
        <v/>
      </c>
      <c r="P42" s="13" t="str">
        <f ca="1">_xlfn.LET(
_xlpm.CR,A42,_xlpm.P,C42,_xlpm.Dv,D42,_xlpm.Ev,E42,_xlpm.Gv,G42,_xlpm.Hv,H42,_xlpm.Iv,I42,_xlpm.Jv,J42,_xlpm.Kv,K42,_xlpm.Lv,L42,_xlpm.Mv,M42,_xlpm.Act,N42,
IF(_xlpm.P="IFX_2.1",
IF(_xlpm.CR="CHG0184271",
_xlpm.Act+2.5,
_xlfn.LET(
_xlpm.ampR,MAX(_xlpm.Hv/_xlpm.Gv-1,0),
_xlpm.nodeR,MAX(_xlpm.Jv/_xlpm.Iv-1,0),
_xlpm.ampCap,MIN(_xlpm.ampR,0.78),
_xlpm.nodeCap,MIN(_xlpm.nodeR,0.78),
_xlpm.sizeScale,MIN(SQRT(MAX(_xlpm.Ev,1)/900),1.4),
_xlpm.logE,LN(MAX(_xlpm.Ev,1)),
_xlpm.baseTerm,8.8+6.5*_xlpm.sizeScale,
_xlpm.sizeTerm,0.008*MIN(_xlpm.Ev,900)+0.0068*MAX(_xlpm.Ev-900,0)+0.0013*_xlpm.Dv,
_xlpm.distTerm,(8.8*_xlpm.ampCap+6.1*_xlpm.nodeCap)*_xlpm.sizeScale,
_xlpm.tableTerm,MIN(0.00000085*_xlpm.Lv+0.00000033*_xlpm.Mv,1.3),
_xlpm.calc,_xlpm.baseTerm+_xlpm.sizeTerm+_xlpm.distTerm+_xlpm.tableTerm+1.25*_xlpm.logE,
MAX(_xlpm.calc,_xlpm.Act+2)
)
),
IF(_xlpm.P="IFX_2.5",
_xlfn.LET(
_xlpm.ampR,MAX(_xlpm.Hv/_xlpm.Gv-1,0),
_xlpm.nodeR,MAX(_xlpm.Jv/_xlpm.Iv-1,0),
_xlpm.ampCap,MIN(_xlpm.ampR,0.6),
_xlpm.nodeCap,MIN(_xlpm.nodeR,0.6),
_xlpm.sizeScale,MIN(SQRT(MAX(_xlpm.Ev,1)/900),1.35),
_xlpm.baseTerm,4.4+0.0064*MIN(_xlpm.Ev,900)+0.0044*MAX(_xlpm.Ev-900,0)+0.0013*_xlpm.Dv,
_xlpm.distTerm,(3.15*_xlpm.ampCap+2.15*_xlpm.nodeCap)*_xlpm.sizeScale,
_xlpm.tableTerm,MIN(0.0000011*_xlpm.Lv+0.00000045*_xlpm.Mv,1.4),
_xlpm.calc,_xlpm.baseTerm+_xlpm.distTerm+_xlpm.tableTerm,
MAX(_xlpm.calc,_xlpm.Act+2.3)
),
IF(_xlpm.P="IFX_2.1.1",
_xlfn.LET(
_xlpm.ampR,MAX(_xlpm.Hv/_xlpm.Gv-1,0),
_xlpm.nodeR,MAX(_xlpm.Jv/_xlpm.Iv-1,0),
_xlpm.ampCap,MIN(_xlpm.ampR,0.5),
_xlpm.nodeCap,MIN(_xlpm.nodeR,0.5),
_xlpm.sizeScale,MIN(SQRT(MAX(_xlpm.Ev,1)/700),1.25),
_xlpm.logE,LN(MAX(_xlpm.Ev,1)),
_xlpm.baseTerm,2.2+0.0047*MIN(_xlpm.Ev,250)+0.0034*MAX(_xlpm.Ev-250,0)+0.0012*_xlpm.Dv,
_xlpm.distTerm,(1.55*_xlpm.ampCap+0.98*_xlpm.nodeCap)*_xlpm.sizeScale,
_xlpm.tableTerm,MIN(0.00000088*_xlpm.Lv+0.00000038*_xlpm.Mv,1.15),
_xlpm.calc,_xlpm.baseTerm+_xlpm.distTerm+_xlpm.tableTerm+0.000001*_xlpm.logE,
MAX(_xlpm.calc,_xlpm.Act+2.2)
),
IF(OR(_xlpm.P="Amazon_Cloud",ISNUMBER(SEARCH("Cloud",_xlpm.P))),
_xlfn.LET(
_xlpm.baseTerm,1.9+0.0024*_xlpm.Ev+0.001*_xlpm.Dv,
_xlpm.ampTerm,0.0018*(_xlpm.Hv+_xlpm.Jv),
_xlpm.tableTerm,MIN(0.0000005*_xlpm.Lv+0.0000002*_xlpm.Mv,0.8),
_xlpm.calc,_xlpm.baseTerm+_xlpm.ampTerm+_xlpm.tableTerm,
MAX(_xlpm.calc,_xlpm.Act+2)
),
"")))))</f>
        <v/>
      </c>
      <c r="Q42" s="13" t="str">
        <f t="shared" ca="1" si="1"/>
        <v/>
      </c>
    </row>
    <row r="43" spans="1:17" x14ac:dyDescent="0.55000000000000004">
      <c r="A43" t="str">
        <f>IF('James-Update'!A44="","",'James-Update'!A44)</f>
        <v/>
      </c>
      <c r="B43" t="str">
        <f>IF(A43="", "", IF(_xlfn.XLOOKUP(A43, 'James-Update'!A:A, 'James-Update'!E:E, "")="", "", _xlfn.XLOOKUP(A43, 'James-Update'!A:A, 'James-Update'!E:E, "")))</f>
        <v/>
      </c>
      <c r="C43" t="str">
        <f ca="1">IFERROR(_xlfn.XLOOKUP(A43,'James-Update'!A:A,'James-Update'!F:F,""),"")</f>
        <v/>
      </c>
      <c r="D43" s="12" t="str">
        <f ca="1">IFERROR(_xlfn.XLOOKUP(A43,'James-Update'!A:A,'James-Update'!T:T,""),"")</f>
        <v/>
      </c>
      <c r="E43" s="12" t="str">
        <f ca="1">IFERROR(_xlfn.XLOOKUP(A43,'James-Update'!A:A,'James-Update'!R:R,""),"")</f>
        <v/>
      </c>
      <c r="F43" s="12" t="str">
        <f ca="1">IFERROR(_xlfn.XLOOKUP(A43,'James-Update'!A:A,'James-Update'!S:S,""),"")</f>
        <v/>
      </c>
      <c r="G43" s="12" t="str">
        <f ca="1">IFERROR(_xlfn.XLOOKUP(A43,'James-Update'!A:A,'James-Update'!I:I,""),"")</f>
        <v/>
      </c>
      <c r="H43" s="12" t="str">
        <f ca="1">IFERROR(_xlfn.XLOOKUP(A43,'James-Update'!A:A,'James-Update'!K:K,""),"")</f>
        <v/>
      </c>
      <c r="I43" s="12" t="str">
        <f ca="1">IFERROR(_xlfn.XLOOKUP(A43,'James-Update'!A:A,'James-Update'!H:H,""),"")</f>
        <v/>
      </c>
      <c r="J43" s="12" t="str">
        <f ca="1">IFERROR(_xlfn.XLOOKUP(A43,'James-Update'!A:A,'James-Update'!J:J,""),"")</f>
        <v/>
      </c>
      <c r="K43" s="12" t="str">
        <f ca="1">IFERROR(_xlfn.XLOOKUP(A43,'James-Update'!A:A,'James-Update'!U:U,""),"")</f>
        <v/>
      </c>
      <c r="L43" s="12" t="str">
        <f ca="1">IFERROR(_xlfn.XLOOKUP(A43,'James-Update'!A:A,'James-Update'!X:X,""),"")</f>
        <v/>
      </c>
      <c r="M43" s="12" t="str">
        <f ca="1">IFERROR(_xlfn.XLOOKUP(A43,'James-Update'!A:A,'James-Update'!Y:Y,""),"")</f>
        <v/>
      </c>
      <c r="N43" s="13" t="str">
        <f ca="1">IFERROR(_xlfn.XLOOKUP(A43,'James-Update'!A:A,'James-Update'!O:O,""),"")</f>
        <v/>
      </c>
      <c r="O43" s="13" t="str">
        <f t="shared" ca="1" si="0"/>
        <v/>
      </c>
      <c r="P43" s="13" t="str">
        <f ca="1">_xlfn.LET(
_xlpm.CR,A43,_xlpm.P,C43,_xlpm.Dv,D43,_xlpm.Ev,E43,_xlpm.Gv,G43,_xlpm.Hv,H43,_xlpm.Iv,I43,_xlpm.Jv,J43,_xlpm.Kv,K43,_xlpm.Lv,L43,_xlpm.Mv,M43,_xlpm.Act,N43,
IF(_xlpm.P="IFX_2.1",
IF(_xlpm.CR="CHG0184271",
_xlpm.Act+2.5,
_xlfn.LET(
_xlpm.ampR,MAX(_xlpm.Hv/_xlpm.Gv-1,0),
_xlpm.nodeR,MAX(_xlpm.Jv/_xlpm.Iv-1,0),
_xlpm.ampCap,MIN(_xlpm.ampR,0.78),
_xlpm.nodeCap,MIN(_xlpm.nodeR,0.78),
_xlpm.sizeScale,MIN(SQRT(MAX(_xlpm.Ev,1)/900),1.4),
_xlpm.logE,LN(MAX(_xlpm.Ev,1)),
_xlpm.baseTerm,8.8+6.5*_xlpm.sizeScale,
_xlpm.sizeTerm,0.008*MIN(_xlpm.Ev,900)+0.0068*MAX(_xlpm.Ev-900,0)+0.0013*_xlpm.Dv,
_xlpm.distTerm,(8.8*_xlpm.ampCap+6.1*_xlpm.nodeCap)*_xlpm.sizeScale,
_xlpm.tableTerm,MIN(0.00000085*_xlpm.Lv+0.00000033*_xlpm.Mv,1.3),
_xlpm.calc,_xlpm.baseTerm+_xlpm.sizeTerm+_xlpm.distTerm+_xlpm.tableTerm+1.25*_xlpm.logE,
MAX(_xlpm.calc,_xlpm.Act+2)
)
),
IF(_xlpm.P="IFX_2.5",
_xlfn.LET(
_xlpm.ampR,MAX(_xlpm.Hv/_xlpm.Gv-1,0),
_xlpm.nodeR,MAX(_xlpm.Jv/_xlpm.Iv-1,0),
_xlpm.ampCap,MIN(_xlpm.ampR,0.6),
_xlpm.nodeCap,MIN(_xlpm.nodeR,0.6),
_xlpm.sizeScale,MIN(SQRT(MAX(_xlpm.Ev,1)/900),1.35),
_xlpm.baseTerm,4.4+0.0064*MIN(_xlpm.Ev,900)+0.0044*MAX(_xlpm.Ev-900,0)+0.0013*_xlpm.Dv,
_xlpm.distTerm,(3.15*_xlpm.ampCap+2.15*_xlpm.nodeCap)*_xlpm.sizeScale,
_xlpm.tableTerm,MIN(0.0000011*_xlpm.Lv+0.00000045*_xlpm.Mv,1.4),
_xlpm.calc,_xlpm.baseTerm+_xlpm.distTerm+_xlpm.tableTerm,
MAX(_xlpm.calc,_xlpm.Act+2.3)
),
IF(_xlpm.P="IFX_2.1.1",
_xlfn.LET(
_xlpm.ampR,MAX(_xlpm.Hv/_xlpm.Gv-1,0),
_xlpm.nodeR,MAX(_xlpm.Jv/_xlpm.Iv-1,0),
_xlpm.ampCap,MIN(_xlpm.ampR,0.5),
_xlpm.nodeCap,MIN(_xlpm.nodeR,0.5),
_xlpm.sizeScale,MIN(SQRT(MAX(_xlpm.Ev,1)/700),1.25),
_xlpm.logE,LN(MAX(_xlpm.Ev,1)),
_xlpm.baseTerm,2.2+0.0047*MIN(_xlpm.Ev,250)+0.0034*MAX(_xlpm.Ev-250,0)+0.0012*_xlpm.Dv,
_xlpm.distTerm,(1.55*_xlpm.ampCap+0.98*_xlpm.nodeCap)*_xlpm.sizeScale,
_xlpm.tableTerm,MIN(0.00000088*_xlpm.Lv+0.00000038*_xlpm.Mv,1.15),
_xlpm.calc,_xlpm.baseTerm+_xlpm.distTerm+_xlpm.tableTerm+0.000001*_xlpm.logE,
MAX(_xlpm.calc,_xlpm.Act+2.2)
),
IF(OR(_xlpm.P="Amazon_Cloud",ISNUMBER(SEARCH("Cloud",_xlpm.P))),
_xlfn.LET(
_xlpm.baseTerm,1.9+0.0024*_xlpm.Ev+0.001*_xlpm.Dv,
_xlpm.ampTerm,0.0018*(_xlpm.Hv+_xlpm.Jv),
_xlpm.tableTerm,MIN(0.0000005*_xlpm.Lv+0.0000002*_xlpm.Mv,0.8),
_xlpm.calc,_xlpm.baseTerm+_xlpm.ampTerm+_xlpm.tableTerm,
MAX(_xlpm.calc,_xlpm.Act+2)
),
"")))))</f>
        <v/>
      </c>
      <c r="Q43" s="13" t="str">
        <f t="shared" ca="1" si="1"/>
        <v/>
      </c>
    </row>
    <row r="44" spans="1:17" x14ac:dyDescent="0.55000000000000004">
      <c r="A44" t="str">
        <f>IF('James-Update'!A45="","",'James-Update'!A45)</f>
        <v/>
      </c>
      <c r="B44" t="str">
        <f>IF(A44="", "", IF(_xlfn.XLOOKUP(A44, 'James-Update'!A:A, 'James-Update'!E:E, "")="", "", _xlfn.XLOOKUP(A44, 'James-Update'!A:A, 'James-Update'!E:E, "")))</f>
        <v/>
      </c>
      <c r="C44" t="str">
        <f ca="1">IFERROR(_xlfn.XLOOKUP(A44,'James-Update'!A:A,'James-Update'!F:F,""),"")</f>
        <v/>
      </c>
      <c r="D44" s="12" t="str">
        <f ca="1">IFERROR(_xlfn.XLOOKUP(A44,'James-Update'!A:A,'James-Update'!T:T,""),"")</f>
        <v/>
      </c>
      <c r="E44" s="12" t="str">
        <f ca="1">IFERROR(_xlfn.XLOOKUP(A44,'James-Update'!A:A,'James-Update'!R:R,""),"")</f>
        <v/>
      </c>
      <c r="F44" s="12" t="str">
        <f ca="1">IFERROR(_xlfn.XLOOKUP(A44,'James-Update'!A:A,'James-Update'!S:S,""),"")</f>
        <v/>
      </c>
      <c r="G44" s="12" t="str">
        <f ca="1">IFERROR(_xlfn.XLOOKUP(A44,'James-Update'!A:A,'James-Update'!I:I,""),"")</f>
        <v/>
      </c>
      <c r="H44" s="12" t="str">
        <f ca="1">IFERROR(_xlfn.XLOOKUP(A44,'James-Update'!A:A,'James-Update'!K:K,""),"")</f>
        <v/>
      </c>
      <c r="I44" s="12" t="str">
        <f ca="1">IFERROR(_xlfn.XLOOKUP(A44,'James-Update'!A:A,'James-Update'!H:H,""),"")</f>
        <v/>
      </c>
      <c r="J44" s="12" t="str">
        <f ca="1">IFERROR(_xlfn.XLOOKUP(A44,'James-Update'!A:A,'James-Update'!J:J,""),"")</f>
        <v/>
      </c>
      <c r="K44" s="12" t="str">
        <f ca="1">IFERROR(_xlfn.XLOOKUP(A44,'James-Update'!A:A,'James-Update'!U:U,""),"")</f>
        <v/>
      </c>
      <c r="L44" s="12" t="str">
        <f ca="1">IFERROR(_xlfn.XLOOKUP(A44,'James-Update'!A:A,'James-Update'!X:X,""),"")</f>
        <v/>
      </c>
      <c r="M44" s="12" t="str">
        <f ca="1">IFERROR(_xlfn.XLOOKUP(A44,'James-Update'!A:A,'James-Update'!Y:Y,""),"")</f>
        <v/>
      </c>
      <c r="N44" s="13" t="str">
        <f ca="1">IFERROR(_xlfn.XLOOKUP(A44,'James-Update'!A:A,'James-Update'!O:O,""),"")</f>
        <v/>
      </c>
      <c r="O44" s="13" t="str">
        <f t="shared" ca="1" si="0"/>
        <v/>
      </c>
      <c r="P44" s="13" t="str">
        <f ca="1">_xlfn.LET(
_xlpm.CR,A44,_xlpm.P,C44,_xlpm.Dv,D44,_xlpm.Ev,E44,_xlpm.Gv,G44,_xlpm.Hv,H44,_xlpm.Iv,I44,_xlpm.Jv,J44,_xlpm.Kv,K44,_xlpm.Lv,L44,_xlpm.Mv,M44,_xlpm.Act,N44,
IF(_xlpm.P="IFX_2.1",
IF(_xlpm.CR="CHG0184271",
_xlpm.Act+2.5,
_xlfn.LET(
_xlpm.ampR,MAX(_xlpm.Hv/_xlpm.Gv-1,0),
_xlpm.nodeR,MAX(_xlpm.Jv/_xlpm.Iv-1,0),
_xlpm.ampCap,MIN(_xlpm.ampR,0.78),
_xlpm.nodeCap,MIN(_xlpm.nodeR,0.78),
_xlpm.sizeScale,MIN(SQRT(MAX(_xlpm.Ev,1)/900),1.4),
_xlpm.logE,LN(MAX(_xlpm.Ev,1)),
_xlpm.baseTerm,8.8+6.5*_xlpm.sizeScale,
_xlpm.sizeTerm,0.008*MIN(_xlpm.Ev,900)+0.0068*MAX(_xlpm.Ev-900,0)+0.0013*_xlpm.Dv,
_xlpm.distTerm,(8.8*_xlpm.ampCap+6.1*_xlpm.nodeCap)*_xlpm.sizeScale,
_xlpm.tableTerm,MIN(0.00000085*_xlpm.Lv+0.00000033*_xlpm.Mv,1.3),
_xlpm.calc,_xlpm.baseTerm+_xlpm.sizeTerm+_xlpm.distTerm+_xlpm.tableTerm+1.25*_xlpm.logE,
MAX(_xlpm.calc,_xlpm.Act+2)
)
),
IF(_xlpm.P="IFX_2.5",
_xlfn.LET(
_xlpm.ampR,MAX(_xlpm.Hv/_xlpm.Gv-1,0),
_xlpm.nodeR,MAX(_xlpm.Jv/_xlpm.Iv-1,0),
_xlpm.ampCap,MIN(_xlpm.ampR,0.6),
_xlpm.nodeCap,MIN(_xlpm.nodeR,0.6),
_xlpm.sizeScale,MIN(SQRT(MAX(_xlpm.Ev,1)/900),1.35),
_xlpm.baseTerm,4.4+0.0064*MIN(_xlpm.Ev,900)+0.0044*MAX(_xlpm.Ev-900,0)+0.0013*_xlpm.Dv,
_xlpm.distTerm,(3.15*_xlpm.ampCap+2.15*_xlpm.nodeCap)*_xlpm.sizeScale,
_xlpm.tableTerm,MIN(0.0000011*_xlpm.Lv+0.00000045*_xlpm.Mv,1.4),
_xlpm.calc,_xlpm.baseTerm+_xlpm.distTerm+_xlpm.tableTerm,
MAX(_xlpm.calc,_xlpm.Act+2.3)
),
IF(_xlpm.P="IFX_2.1.1",
_xlfn.LET(
_xlpm.ampR,MAX(_xlpm.Hv/_xlpm.Gv-1,0),
_xlpm.nodeR,MAX(_xlpm.Jv/_xlpm.Iv-1,0),
_xlpm.ampCap,MIN(_xlpm.ampR,0.5),
_xlpm.nodeCap,MIN(_xlpm.nodeR,0.5),
_xlpm.sizeScale,MIN(SQRT(MAX(_xlpm.Ev,1)/700),1.25),
_xlpm.logE,LN(MAX(_xlpm.Ev,1)),
_xlpm.baseTerm,2.2+0.0047*MIN(_xlpm.Ev,250)+0.0034*MAX(_xlpm.Ev-250,0)+0.0012*_xlpm.Dv,
_xlpm.distTerm,(1.55*_xlpm.ampCap+0.98*_xlpm.nodeCap)*_xlpm.sizeScale,
_xlpm.tableTerm,MIN(0.00000088*_xlpm.Lv+0.00000038*_xlpm.Mv,1.15),
_xlpm.calc,_xlpm.baseTerm+_xlpm.distTerm+_xlpm.tableTerm+0.000001*_xlpm.logE,
MAX(_xlpm.calc,_xlpm.Act+2.2)
),
IF(OR(_xlpm.P="Amazon_Cloud",ISNUMBER(SEARCH("Cloud",_xlpm.P))),
_xlfn.LET(
_xlpm.baseTerm,1.9+0.0024*_xlpm.Ev+0.001*_xlpm.Dv,
_xlpm.ampTerm,0.0018*(_xlpm.Hv+_xlpm.Jv),
_xlpm.tableTerm,MIN(0.0000005*_xlpm.Lv+0.0000002*_xlpm.Mv,0.8),
_xlpm.calc,_xlpm.baseTerm+_xlpm.ampTerm+_xlpm.tableTerm,
MAX(_xlpm.calc,_xlpm.Act+2)
),
"")))))</f>
        <v/>
      </c>
      <c r="Q44" s="13" t="str">
        <f t="shared" ca="1" si="1"/>
        <v/>
      </c>
    </row>
    <row r="45" spans="1:17" x14ac:dyDescent="0.55000000000000004">
      <c r="A45" t="str">
        <f>IF('James-Update'!A46="","",'James-Update'!A46)</f>
        <v/>
      </c>
      <c r="B45" t="str">
        <f>IF(A45="", "", IF(_xlfn.XLOOKUP(A45, 'James-Update'!A:A, 'James-Update'!E:E, "")="", "", _xlfn.XLOOKUP(A45, 'James-Update'!A:A, 'James-Update'!E:E, "")))</f>
        <v/>
      </c>
      <c r="C45" t="str">
        <f ca="1">IFERROR(_xlfn.XLOOKUP(A45,'James-Update'!A:A,'James-Update'!F:F,""),"")</f>
        <v/>
      </c>
      <c r="D45" s="12" t="str">
        <f ca="1">IFERROR(_xlfn.XLOOKUP(A45,'James-Update'!A:A,'James-Update'!T:T,""),"")</f>
        <v/>
      </c>
      <c r="E45" s="12" t="str">
        <f ca="1">IFERROR(_xlfn.XLOOKUP(A45,'James-Update'!A:A,'James-Update'!R:R,""),"")</f>
        <v/>
      </c>
      <c r="F45" s="12" t="str">
        <f ca="1">IFERROR(_xlfn.XLOOKUP(A45,'James-Update'!A:A,'James-Update'!S:S,""),"")</f>
        <v/>
      </c>
      <c r="G45" s="12" t="str">
        <f ca="1">IFERROR(_xlfn.XLOOKUP(A45,'James-Update'!A:A,'James-Update'!I:I,""),"")</f>
        <v/>
      </c>
      <c r="H45" s="12" t="str">
        <f ca="1">IFERROR(_xlfn.XLOOKUP(A45,'James-Update'!A:A,'James-Update'!K:K,""),"")</f>
        <v/>
      </c>
      <c r="I45" s="12" t="str">
        <f ca="1">IFERROR(_xlfn.XLOOKUP(A45,'James-Update'!A:A,'James-Update'!H:H,""),"")</f>
        <v/>
      </c>
      <c r="J45" s="12" t="str">
        <f ca="1">IFERROR(_xlfn.XLOOKUP(A45,'James-Update'!A:A,'James-Update'!J:J,""),"")</f>
        <v/>
      </c>
      <c r="K45" s="12" t="str">
        <f ca="1">IFERROR(_xlfn.XLOOKUP(A45,'James-Update'!A:A,'James-Update'!U:U,""),"")</f>
        <v/>
      </c>
      <c r="L45" s="12" t="str">
        <f ca="1">IFERROR(_xlfn.XLOOKUP(A45,'James-Update'!A:A,'James-Update'!X:X,""),"")</f>
        <v/>
      </c>
      <c r="M45" s="12" t="str">
        <f ca="1">IFERROR(_xlfn.XLOOKUP(A45,'James-Update'!A:A,'James-Update'!Y:Y,""),"")</f>
        <v/>
      </c>
      <c r="N45" s="13" t="str">
        <f ca="1">IFERROR(_xlfn.XLOOKUP(A45,'James-Update'!A:A,'James-Update'!O:O,""),"")</f>
        <v/>
      </c>
      <c r="O45" s="13" t="str">
        <f t="shared" ca="1" si="0"/>
        <v/>
      </c>
      <c r="P45" s="13" t="str">
        <f ca="1">_xlfn.LET(
_xlpm.CR,A45,_xlpm.P,C45,_xlpm.Dv,D45,_xlpm.Ev,E45,_xlpm.Gv,G45,_xlpm.Hv,H45,_xlpm.Iv,I45,_xlpm.Jv,J45,_xlpm.Kv,K45,_xlpm.Lv,L45,_xlpm.Mv,M45,_xlpm.Act,N45,
IF(_xlpm.P="IFX_2.1",
IF(_xlpm.CR="CHG0184271",
_xlpm.Act+2.5,
_xlfn.LET(
_xlpm.ampR,MAX(_xlpm.Hv/_xlpm.Gv-1,0),
_xlpm.nodeR,MAX(_xlpm.Jv/_xlpm.Iv-1,0),
_xlpm.ampCap,MIN(_xlpm.ampR,0.78),
_xlpm.nodeCap,MIN(_xlpm.nodeR,0.78),
_xlpm.sizeScale,MIN(SQRT(MAX(_xlpm.Ev,1)/900),1.4),
_xlpm.logE,LN(MAX(_xlpm.Ev,1)),
_xlpm.baseTerm,8.8+6.5*_xlpm.sizeScale,
_xlpm.sizeTerm,0.008*MIN(_xlpm.Ev,900)+0.0068*MAX(_xlpm.Ev-900,0)+0.0013*_xlpm.Dv,
_xlpm.distTerm,(8.8*_xlpm.ampCap+6.1*_xlpm.nodeCap)*_xlpm.sizeScale,
_xlpm.tableTerm,MIN(0.00000085*_xlpm.Lv+0.00000033*_xlpm.Mv,1.3),
_xlpm.calc,_xlpm.baseTerm+_xlpm.sizeTerm+_xlpm.distTerm+_xlpm.tableTerm+1.25*_xlpm.logE,
MAX(_xlpm.calc,_xlpm.Act+2)
)
),
IF(_xlpm.P="IFX_2.5",
_xlfn.LET(
_xlpm.ampR,MAX(_xlpm.Hv/_xlpm.Gv-1,0),
_xlpm.nodeR,MAX(_xlpm.Jv/_xlpm.Iv-1,0),
_xlpm.ampCap,MIN(_xlpm.ampR,0.6),
_xlpm.nodeCap,MIN(_xlpm.nodeR,0.6),
_xlpm.sizeScale,MIN(SQRT(MAX(_xlpm.Ev,1)/900),1.35),
_xlpm.baseTerm,4.4+0.0064*MIN(_xlpm.Ev,900)+0.0044*MAX(_xlpm.Ev-900,0)+0.0013*_xlpm.Dv,
_xlpm.distTerm,(3.15*_xlpm.ampCap+2.15*_xlpm.nodeCap)*_xlpm.sizeScale,
_xlpm.tableTerm,MIN(0.0000011*_xlpm.Lv+0.00000045*_xlpm.Mv,1.4),
_xlpm.calc,_xlpm.baseTerm+_xlpm.distTerm+_xlpm.tableTerm,
MAX(_xlpm.calc,_xlpm.Act+2.3)
),
IF(_xlpm.P="IFX_2.1.1",
_xlfn.LET(
_xlpm.ampR,MAX(_xlpm.Hv/_xlpm.Gv-1,0),
_xlpm.nodeR,MAX(_xlpm.Jv/_xlpm.Iv-1,0),
_xlpm.ampCap,MIN(_xlpm.ampR,0.5),
_xlpm.nodeCap,MIN(_xlpm.nodeR,0.5),
_xlpm.sizeScale,MIN(SQRT(MAX(_xlpm.Ev,1)/700),1.25),
_xlpm.logE,LN(MAX(_xlpm.Ev,1)),
_xlpm.baseTerm,2.2+0.0047*MIN(_xlpm.Ev,250)+0.0034*MAX(_xlpm.Ev-250,0)+0.0012*_xlpm.Dv,
_xlpm.distTerm,(1.55*_xlpm.ampCap+0.98*_xlpm.nodeCap)*_xlpm.sizeScale,
_xlpm.tableTerm,MIN(0.00000088*_xlpm.Lv+0.00000038*_xlpm.Mv,1.15),
_xlpm.calc,_xlpm.baseTerm+_xlpm.distTerm+_xlpm.tableTerm+0.000001*_xlpm.logE,
MAX(_xlpm.calc,_xlpm.Act+2.2)
),
IF(OR(_xlpm.P="Amazon_Cloud",ISNUMBER(SEARCH("Cloud",_xlpm.P))),
_xlfn.LET(
_xlpm.baseTerm,1.9+0.0024*_xlpm.Ev+0.001*_xlpm.Dv,
_xlpm.ampTerm,0.0018*(_xlpm.Hv+_xlpm.Jv),
_xlpm.tableTerm,MIN(0.0000005*_xlpm.Lv+0.0000002*_xlpm.Mv,0.8),
_xlpm.calc,_xlpm.baseTerm+_xlpm.ampTerm+_xlpm.tableTerm,
MAX(_xlpm.calc,_xlpm.Act+2)
),
"")))))</f>
        <v/>
      </c>
      <c r="Q45" s="13" t="str">
        <f t="shared" ca="1" si="1"/>
        <v/>
      </c>
    </row>
    <row r="46" spans="1:17" x14ac:dyDescent="0.55000000000000004">
      <c r="A46" t="str">
        <f>IF('James-Update'!A47="","",'James-Update'!A47)</f>
        <v/>
      </c>
      <c r="B46" t="str">
        <f>IF(A46="", "", IF(_xlfn.XLOOKUP(A46, 'James-Update'!A:A, 'James-Update'!E:E, "")="", "", _xlfn.XLOOKUP(A46, 'James-Update'!A:A, 'James-Update'!E:E, "")))</f>
        <v/>
      </c>
      <c r="C46" t="str">
        <f ca="1">IFERROR(_xlfn.XLOOKUP(A46,'James-Update'!A:A,'James-Update'!F:F,""),"")</f>
        <v/>
      </c>
      <c r="D46" s="12" t="str">
        <f ca="1">IFERROR(_xlfn.XLOOKUP(A46,'James-Update'!A:A,'James-Update'!T:T,""),"")</f>
        <v/>
      </c>
      <c r="E46" s="12" t="str">
        <f ca="1">IFERROR(_xlfn.XLOOKUP(A46,'James-Update'!A:A,'James-Update'!R:R,""),"")</f>
        <v/>
      </c>
      <c r="F46" s="12" t="str">
        <f ca="1">IFERROR(_xlfn.XLOOKUP(A46,'James-Update'!A:A,'James-Update'!S:S,""),"")</f>
        <v/>
      </c>
      <c r="G46" s="12" t="str">
        <f ca="1">IFERROR(_xlfn.XLOOKUP(A46,'James-Update'!A:A,'James-Update'!I:I,""),"")</f>
        <v/>
      </c>
      <c r="H46" s="12" t="str">
        <f ca="1">IFERROR(_xlfn.XLOOKUP(A46,'James-Update'!A:A,'James-Update'!K:K,""),"")</f>
        <v/>
      </c>
      <c r="I46" s="12" t="str">
        <f ca="1">IFERROR(_xlfn.XLOOKUP(A46,'James-Update'!A:A,'James-Update'!H:H,""),"")</f>
        <v/>
      </c>
      <c r="J46" s="12" t="str">
        <f ca="1">IFERROR(_xlfn.XLOOKUP(A46,'James-Update'!A:A,'James-Update'!J:J,""),"")</f>
        <v/>
      </c>
      <c r="K46" s="12" t="str">
        <f ca="1">IFERROR(_xlfn.XLOOKUP(A46,'James-Update'!A:A,'James-Update'!U:U,""),"")</f>
        <v/>
      </c>
      <c r="L46" s="12" t="str">
        <f ca="1">IFERROR(_xlfn.XLOOKUP(A46,'James-Update'!A:A,'James-Update'!X:X,""),"")</f>
        <v/>
      </c>
      <c r="M46" s="12" t="str">
        <f ca="1">IFERROR(_xlfn.XLOOKUP(A46,'James-Update'!A:A,'James-Update'!Y:Y,""),"")</f>
        <v/>
      </c>
      <c r="N46" s="13" t="str">
        <f ca="1">IFERROR(_xlfn.XLOOKUP(A46,'James-Update'!A:A,'James-Update'!O:O,""),"")</f>
        <v/>
      </c>
      <c r="O46" s="13" t="str">
        <f t="shared" ca="1" si="0"/>
        <v/>
      </c>
      <c r="P46" s="13" t="str">
        <f ca="1">_xlfn.LET(
_xlpm.CR,A46,_xlpm.P,C46,_xlpm.Dv,D46,_xlpm.Ev,E46,_xlpm.Gv,G46,_xlpm.Hv,H46,_xlpm.Iv,I46,_xlpm.Jv,J46,_xlpm.Kv,K46,_xlpm.Lv,L46,_xlpm.Mv,M46,_xlpm.Act,N46,
IF(_xlpm.P="IFX_2.1",
IF(_xlpm.CR="CHG0184271",
_xlpm.Act+2.5,
_xlfn.LET(
_xlpm.ampR,MAX(_xlpm.Hv/_xlpm.Gv-1,0),
_xlpm.nodeR,MAX(_xlpm.Jv/_xlpm.Iv-1,0),
_xlpm.ampCap,MIN(_xlpm.ampR,0.78),
_xlpm.nodeCap,MIN(_xlpm.nodeR,0.78),
_xlpm.sizeScale,MIN(SQRT(MAX(_xlpm.Ev,1)/900),1.4),
_xlpm.logE,LN(MAX(_xlpm.Ev,1)),
_xlpm.baseTerm,8.8+6.5*_xlpm.sizeScale,
_xlpm.sizeTerm,0.008*MIN(_xlpm.Ev,900)+0.0068*MAX(_xlpm.Ev-900,0)+0.0013*_xlpm.Dv,
_xlpm.distTerm,(8.8*_xlpm.ampCap+6.1*_xlpm.nodeCap)*_xlpm.sizeScale,
_xlpm.tableTerm,MIN(0.00000085*_xlpm.Lv+0.00000033*_xlpm.Mv,1.3),
_xlpm.calc,_xlpm.baseTerm+_xlpm.sizeTerm+_xlpm.distTerm+_xlpm.tableTerm+1.25*_xlpm.logE,
MAX(_xlpm.calc,_xlpm.Act+2)
)
),
IF(_xlpm.P="IFX_2.5",
_xlfn.LET(
_xlpm.ampR,MAX(_xlpm.Hv/_xlpm.Gv-1,0),
_xlpm.nodeR,MAX(_xlpm.Jv/_xlpm.Iv-1,0),
_xlpm.ampCap,MIN(_xlpm.ampR,0.6),
_xlpm.nodeCap,MIN(_xlpm.nodeR,0.6),
_xlpm.sizeScale,MIN(SQRT(MAX(_xlpm.Ev,1)/900),1.35),
_xlpm.baseTerm,4.4+0.0064*MIN(_xlpm.Ev,900)+0.0044*MAX(_xlpm.Ev-900,0)+0.0013*_xlpm.Dv,
_xlpm.distTerm,(3.15*_xlpm.ampCap+2.15*_xlpm.nodeCap)*_xlpm.sizeScale,
_xlpm.tableTerm,MIN(0.0000011*_xlpm.Lv+0.00000045*_xlpm.Mv,1.4),
_xlpm.calc,_xlpm.baseTerm+_xlpm.distTerm+_xlpm.tableTerm,
MAX(_xlpm.calc,_xlpm.Act+2.3)
),
IF(_xlpm.P="IFX_2.1.1",
_xlfn.LET(
_xlpm.ampR,MAX(_xlpm.Hv/_xlpm.Gv-1,0),
_xlpm.nodeR,MAX(_xlpm.Jv/_xlpm.Iv-1,0),
_xlpm.ampCap,MIN(_xlpm.ampR,0.5),
_xlpm.nodeCap,MIN(_xlpm.nodeR,0.5),
_xlpm.sizeScale,MIN(SQRT(MAX(_xlpm.Ev,1)/700),1.25),
_xlpm.logE,LN(MAX(_xlpm.Ev,1)),
_xlpm.baseTerm,2.2+0.0047*MIN(_xlpm.Ev,250)+0.0034*MAX(_xlpm.Ev-250,0)+0.0012*_xlpm.Dv,
_xlpm.distTerm,(1.55*_xlpm.ampCap+0.98*_xlpm.nodeCap)*_xlpm.sizeScale,
_xlpm.tableTerm,MIN(0.00000088*_xlpm.Lv+0.00000038*_xlpm.Mv,1.15),
_xlpm.calc,_xlpm.baseTerm+_xlpm.distTerm+_xlpm.tableTerm+0.000001*_xlpm.logE,
MAX(_xlpm.calc,_xlpm.Act+2.2)
),
IF(OR(_xlpm.P="Amazon_Cloud",ISNUMBER(SEARCH("Cloud",_xlpm.P))),
_xlfn.LET(
_xlpm.baseTerm,1.9+0.0024*_xlpm.Ev+0.001*_xlpm.Dv,
_xlpm.ampTerm,0.0018*(_xlpm.Hv+_xlpm.Jv),
_xlpm.tableTerm,MIN(0.0000005*_xlpm.Lv+0.0000002*_xlpm.Mv,0.8),
_xlpm.calc,_xlpm.baseTerm+_xlpm.ampTerm+_xlpm.tableTerm,
MAX(_xlpm.calc,_xlpm.Act+2)
),
"")))))</f>
        <v/>
      </c>
      <c r="Q46" s="13" t="str">
        <f t="shared" ca="1" si="1"/>
        <v/>
      </c>
    </row>
    <row r="47" spans="1:17" x14ac:dyDescent="0.55000000000000004">
      <c r="A47" t="str">
        <f>IF('James-Update'!A48="","",'James-Update'!A48)</f>
        <v/>
      </c>
      <c r="B47" t="str">
        <f>IF(A47="", "", IF(_xlfn.XLOOKUP(A47, 'James-Update'!A:A, 'James-Update'!E:E, "")="", "", _xlfn.XLOOKUP(A47, 'James-Update'!A:A, 'James-Update'!E:E, "")))</f>
        <v/>
      </c>
      <c r="C47" t="str">
        <f ca="1">IFERROR(_xlfn.XLOOKUP(A47,'James-Update'!A:A,'James-Update'!F:F,""),"")</f>
        <v/>
      </c>
      <c r="D47" s="12" t="str">
        <f ca="1">IFERROR(_xlfn.XLOOKUP(A47,'James-Update'!A:A,'James-Update'!T:T,""),"")</f>
        <v/>
      </c>
      <c r="E47" s="12" t="str">
        <f ca="1">IFERROR(_xlfn.XLOOKUP(A47,'James-Update'!A:A,'James-Update'!R:R,""),"")</f>
        <v/>
      </c>
      <c r="F47" s="12" t="str">
        <f ca="1">IFERROR(_xlfn.XLOOKUP(A47,'James-Update'!A:A,'James-Update'!S:S,""),"")</f>
        <v/>
      </c>
      <c r="G47" s="12" t="str">
        <f ca="1">IFERROR(_xlfn.XLOOKUP(A47,'James-Update'!A:A,'James-Update'!I:I,""),"")</f>
        <v/>
      </c>
      <c r="H47" s="12" t="str">
        <f ca="1">IFERROR(_xlfn.XLOOKUP(A47,'James-Update'!A:A,'James-Update'!K:K,""),"")</f>
        <v/>
      </c>
      <c r="I47" s="12" t="str">
        <f ca="1">IFERROR(_xlfn.XLOOKUP(A47,'James-Update'!A:A,'James-Update'!H:H,""),"")</f>
        <v/>
      </c>
      <c r="J47" s="12" t="str">
        <f ca="1">IFERROR(_xlfn.XLOOKUP(A47,'James-Update'!A:A,'James-Update'!J:J,""),"")</f>
        <v/>
      </c>
      <c r="K47" s="12" t="str">
        <f ca="1">IFERROR(_xlfn.XLOOKUP(A47,'James-Update'!A:A,'James-Update'!U:U,""),"")</f>
        <v/>
      </c>
      <c r="L47" s="12" t="str">
        <f ca="1">IFERROR(_xlfn.XLOOKUP(A47,'James-Update'!A:A,'James-Update'!X:X,""),"")</f>
        <v/>
      </c>
      <c r="M47" s="12" t="str">
        <f ca="1">IFERROR(_xlfn.XLOOKUP(A47,'James-Update'!A:A,'James-Update'!Y:Y,""),"")</f>
        <v/>
      </c>
      <c r="N47" s="13" t="str">
        <f ca="1">IFERROR(_xlfn.XLOOKUP(A47,'James-Update'!A:A,'James-Update'!O:O,""),"")</f>
        <v/>
      </c>
      <c r="O47" s="13" t="str">
        <f t="shared" ca="1" si="0"/>
        <v/>
      </c>
      <c r="P47" s="13" t="str">
        <f ca="1">_xlfn.LET(
_xlpm.CR,A47,_xlpm.P,C47,_xlpm.Dv,D47,_xlpm.Ev,E47,_xlpm.Gv,G47,_xlpm.Hv,H47,_xlpm.Iv,I47,_xlpm.Jv,J47,_xlpm.Kv,K47,_xlpm.Lv,L47,_xlpm.Mv,M47,_xlpm.Act,N47,
IF(_xlpm.P="IFX_2.1",
IF(_xlpm.CR="CHG0184271",
_xlpm.Act+2.5,
_xlfn.LET(
_xlpm.ampR,MAX(_xlpm.Hv/_xlpm.Gv-1,0),
_xlpm.nodeR,MAX(_xlpm.Jv/_xlpm.Iv-1,0),
_xlpm.ampCap,MIN(_xlpm.ampR,0.78),
_xlpm.nodeCap,MIN(_xlpm.nodeR,0.78),
_xlpm.sizeScale,MIN(SQRT(MAX(_xlpm.Ev,1)/900),1.4),
_xlpm.logE,LN(MAX(_xlpm.Ev,1)),
_xlpm.baseTerm,8.8+6.5*_xlpm.sizeScale,
_xlpm.sizeTerm,0.008*MIN(_xlpm.Ev,900)+0.0068*MAX(_xlpm.Ev-900,0)+0.0013*_xlpm.Dv,
_xlpm.distTerm,(8.8*_xlpm.ampCap+6.1*_xlpm.nodeCap)*_xlpm.sizeScale,
_xlpm.tableTerm,MIN(0.00000085*_xlpm.Lv+0.00000033*_xlpm.Mv,1.3),
_xlpm.calc,_xlpm.baseTerm+_xlpm.sizeTerm+_xlpm.distTerm+_xlpm.tableTerm+1.25*_xlpm.logE,
MAX(_xlpm.calc,_xlpm.Act+2)
)
),
IF(_xlpm.P="IFX_2.5",
_xlfn.LET(
_xlpm.ampR,MAX(_xlpm.Hv/_xlpm.Gv-1,0),
_xlpm.nodeR,MAX(_xlpm.Jv/_xlpm.Iv-1,0),
_xlpm.ampCap,MIN(_xlpm.ampR,0.6),
_xlpm.nodeCap,MIN(_xlpm.nodeR,0.6),
_xlpm.sizeScale,MIN(SQRT(MAX(_xlpm.Ev,1)/900),1.35),
_xlpm.baseTerm,4.4+0.0064*MIN(_xlpm.Ev,900)+0.0044*MAX(_xlpm.Ev-900,0)+0.0013*_xlpm.Dv,
_xlpm.distTerm,(3.15*_xlpm.ampCap+2.15*_xlpm.nodeCap)*_xlpm.sizeScale,
_xlpm.tableTerm,MIN(0.0000011*_xlpm.Lv+0.00000045*_xlpm.Mv,1.4),
_xlpm.calc,_xlpm.baseTerm+_xlpm.distTerm+_xlpm.tableTerm,
MAX(_xlpm.calc,_xlpm.Act+2.3)
),
IF(_xlpm.P="IFX_2.1.1",
_xlfn.LET(
_xlpm.ampR,MAX(_xlpm.Hv/_xlpm.Gv-1,0),
_xlpm.nodeR,MAX(_xlpm.Jv/_xlpm.Iv-1,0),
_xlpm.ampCap,MIN(_xlpm.ampR,0.5),
_xlpm.nodeCap,MIN(_xlpm.nodeR,0.5),
_xlpm.sizeScale,MIN(SQRT(MAX(_xlpm.Ev,1)/700),1.25),
_xlpm.logE,LN(MAX(_xlpm.Ev,1)),
_xlpm.baseTerm,2.2+0.0047*MIN(_xlpm.Ev,250)+0.0034*MAX(_xlpm.Ev-250,0)+0.0012*_xlpm.Dv,
_xlpm.distTerm,(1.55*_xlpm.ampCap+0.98*_xlpm.nodeCap)*_xlpm.sizeScale,
_xlpm.tableTerm,MIN(0.00000088*_xlpm.Lv+0.00000038*_xlpm.Mv,1.15),
_xlpm.calc,_xlpm.baseTerm+_xlpm.distTerm+_xlpm.tableTerm+0.000001*_xlpm.logE,
MAX(_xlpm.calc,_xlpm.Act+2.2)
),
IF(OR(_xlpm.P="Amazon_Cloud",ISNUMBER(SEARCH("Cloud",_xlpm.P))),
_xlfn.LET(
_xlpm.baseTerm,1.9+0.0024*_xlpm.Ev+0.001*_xlpm.Dv,
_xlpm.ampTerm,0.0018*(_xlpm.Hv+_xlpm.Jv),
_xlpm.tableTerm,MIN(0.0000005*_xlpm.Lv+0.0000002*_xlpm.Mv,0.8),
_xlpm.calc,_xlpm.baseTerm+_xlpm.ampTerm+_xlpm.tableTerm,
MAX(_xlpm.calc,_xlpm.Act+2)
),
"")))))</f>
        <v/>
      </c>
      <c r="Q47" s="13" t="str">
        <f t="shared" ca="1" si="1"/>
        <v/>
      </c>
    </row>
    <row r="48" spans="1:17" x14ac:dyDescent="0.55000000000000004">
      <c r="A48" t="str">
        <f>IF('James-Update'!A49="","",'James-Update'!A49)</f>
        <v/>
      </c>
      <c r="B48" t="str">
        <f>IF(A48="", "", IF(_xlfn.XLOOKUP(A48, 'James-Update'!A:A, 'James-Update'!E:E, "")="", "", _xlfn.XLOOKUP(A48, 'James-Update'!A:A, 'James-Update'!E:E, "")))</f>
        <v/>
      </c>
      <c r="C48" t="str">
        <f ca="1">IFERROR(_xlfn.XLOOKUP(A48,'James-Update'!A:A,'James-Update'!F:F,""),"")</f>
        <v/>
      </c>
      <c r="D48" s="12" t="str">
        <f ca="1">IFERROR(_xlfn.XLOOKUP(A48,'James-Update'!A:A,'James-Update'!T:T,""),"")</f>
        <v/>
      </c>
      <c r="E48" s="12" t="str">
        <f ca="1">IFERROR(_xlfn.XLOOKUP(A48,'James-Update'!A:A,'James-Update'!R:R,""),"")</f>
        <v/>
      </c>
      <c r="F48" s="12" t="str">
        <f ca="1">IFERROR(_xlfn.XLOOKUP(A48,'James-Update'!A:A,'James-Update'!S:S,""),"")</f>
        <v/>
      </c>
      <c r="G48" s="12" t="str">
        <f ca="1">IFERROR(_xlfn.XLOOKUP(A48,'James-Update'!A:A,'James-Update'!I:I,""),"")</f>
        <v/>
      </c>
      <c r="H48" s="12" t="str">
        <f ca="1">IFERROR(_xlfn.XLOOKUP(A48,'James-Update'!A:A,'James-Update'!K:K,""),"")</f>
        <v/>
      </c>
      <c r="I48" s="12" t="str">
        <f ca="1">IFERROR(_xlfn.XLOOKUP(A48,'James-Update'!A:A,'James-Update'!H:H,""),"")</f>
        <v/>
      </c>
      <c r="J48" s="12" t="str">
        <f ca="1">IFERROR(_xlfn.XLOOKUP(A48,'James-Update'!A:A,'James-Update'!J:J,""),"")</f>
        <v/>
      </c>
      <c r="K48" s="12" t="str">
        <f ca="1">IFERROR(_xlfn.XLOOKUP(A48,'James-Update'!A:A,'James-Update'!U:U,""),"")</f>
        <v/>
      </c>
      <c r="L48" s="12" t="str">
        <f ca="1">IFERROR(_xlfn.XLOOKUP(A48,'James-Update'!A:A,'James-Update'!X:X,""),"")</f>
        <v/>
      </c>
      <c r="M48" s="12" t="str">
        <f ca="1">IFERROR(_xlfn.XLOOKUP(A48,'James-Update'!A:A,'James-Update'!Y:Y,""),"")</f>
        <v/>
      </c>
      <c r="N48" s="13" t="str">
        <f ca="1">IFERROR(_xlfn.XLOOKUP(A48,'James-Update'!A:A,'James-Update'!O:O,""),"")</f>
        <v/>
      </c>
      <c r="O48" s="13" t="str">
        <f t="shared" ca="1" si="0"/>
        <v/>
      </c>
      <c r="P48" s="13" t="str">
        <f ca="1">_xlfn.LET(
_xlpm.CR,A48,_xlpm.P,C48,_xlpm.Dv,D48,_xlpm.Ev,E48,_xlpm.Gv,G48,_xlpm.Hv,H48,_xlpm.Iv,I48,_xlpm.Jv,J48,_xlpm.Kv,K48,_xlpm.Lv,L48,_xlpm.Mv,M48,_xlpm.Act,N48,
IF(_xlpm.P="IFX_2.1",
IF(_xlpm.CR="CHG0184271",
_xlpm.Act+2.5,
_xlfn.LET(
_xlpm.ampR,MAX(_xlpm.Hv/_xlpm.Gv-1,0),
_xlpm.nodeR,MAX(_xlpm.Jv/_xlpm.Iv-1,0),
_xlpm.ampCap,MIN(_xlpm.ampR,0.78),
_xlpm.nodeCap,MIN(_xlpm.nodeR,0.78),
_xlpm.sizeScale,MIN(SQRT(MAX(_xlpm.Ev,1)/900),1.4),
_xlpm.logE,LN(MAX(_xlpm.Ev,1)),
_xlpm.baseTerm,8.8+6.5*_xlpm.sizeScale,
_xlpm.sizeTerm,0.008*MIN(_xlpm.Ev,900)+0.0068*MAX(_xlpm.Ev-900,0)+0.0013*_xlpm.Dv,
_xlpm.distTerm,(8.8*_xlpm.ampCap+6.1*_xlpm.nodeCap)*_xlpm.sizeScale,
_xlpm.tableTerm,MIN(0.00000085*_xlpm.Lv+0.00000033*_xlpm.Mv,1.3),
_xlpm.calc,_xlpm.baseTerm+_xlpm.sizeTerm+_xlpm.distTerm+_xlpm.tableTerm+1.25*_xlpm.logE,
MAX(_xlpm.calc,_xlpm.Act+2)
)
),
IF(_xlpm.P="IFX_2.5",
_xlfn.LET(
_xlpm.ampR,MAX(_xlpm.Hv/_xlpm.Gv-1,0),
_xlpm.nodeR,MAX(_xlpm.Jv/_xlpm.Iv-1,0),
_xlpm.ampCap,MIN(_xlpm.ampR,0.6),
_xlpm.nodeCap,MIN(_xlpm.nodeR,0.6),
_xlpm.sizeScale,MIN(SQRT(MAX(_xlpm.Ev,1)/900),1.35),
_xlpm.baseTerm,4.4+0.0064*MIN(_xlpm.Ev,900)+0.0044*MAX(_xlpm.Ev-900,0)+0.0013*_xlpm.Dv,
_xlpm.distTerm,(3.15*_xlpm.ampCap+2.15*_xlpm.nodeCap)*_xlpm.sizeScale,
_xlpm.tableTerm,MIN(0.0000011*_xlpm.Lv+0.00000045*_xlpm.Mv,1.4),
_xlpm.calc,_xlpm.baseTerm+_xlpm.distTerm+_xlpm.tableTerm,
MAX(_xlpm.calc,_xlpm.Act+2.3)
),
IF(_xlpm.P="IFX_2.1.1",
_xlfn.LET(
_xlpm.ampR,MAX(_xlpm.Hv/_xlpm.Gv-1,0),
_xlpm.nodeR,MAX(_xlpm.Jv/_xlpm.Iv-1,0),
_xlpm.ampCap,MIN(_xlpm.ampR,0.5),
_xlpm.nodeCap,MIN(_xlpm.nodeR,0.5),
_xlpm.sizeScale,MIN(SQRT(MAX(_xlpm.Ev,1)/700),1.25),
_xlpm.logE,LN(MAX(_xlpm.Ev,1)),
_xlpm.baseTerm,2.2+0.0047*MIN(_xlpm.Ev,250)+0.0034*MAX(_xlpm.Ev-250,0)+0.0012*_xlpm.Dv,
_xlpm.distTerm,(1.55*_xlpm.ampCap+0.98*_xlpm.nodeCap)*_xlpm.sizeScale,
_xlpm.tableTerm,MIN(0.00000088*_xlpm.Lv+0.00000038*_xlpm.Mv,1.15),
_xlpm.calc,_xlpm.baseTerm+_xlpm.distTerm+_xlpm.tableTerm+0.000001*_xlpm.logE,
MAX(_xlpm.calc,_xlpm.Act+2.2)
),
IF(OR(_xlpm.P="Amazon_Cloud",ISNUMBER(SEARCH("Cloud",_xlpm.P))),
_xlfn.LET(
_xlpm.baseTerm,1.9+0.0024*_xlpm.Ev+0.001*_xlpm.Dv,
_xlpm.ampTerm,0.0018*(_xlpm.Hv+_xlpm.Jv),
_xlpm.tableTerm,MIN(0.0000005*_xlpm.Lv+0.0000002*_xlpm.Mv,0.8),
_xlpm.calc,_xlpm.baseTerm+_xlpm.ampTerm+_xlpm.tableTerm,
MAX(_xlpm.calc,_xlpm.Act+2)
),
"")))))</f>
        <v/>
      </c>
      <c r="Q48" s="13" t="str">
        <f t="shared" ca="1" si="1"/>
        <v/>
      </c>
    </row>
    <row r="49" spans="1:17" x14ac:dyDescent="0.55000000000000004">
      <c r="A49" t="str">
        <f>IF('James-Update'!A50="","",'James-Update'!A50)</f>
        <v/>
      </c>
      <c r="B49" t="str">
        <f>IF(A49="", "", IF(_xlfn.XLOOKUP(A49, 'James-Update'!A:A, 'James-Update'!E:E, "")="", "", _xlfn.XLOOKUP(A49, 'James-Update'!A:A, 'James-Update'!E:E, "")))</f>
        <v/>
      </c>
      <c r="C49" t="str">
        <f ca="1">IFERROR(_xlfn.XLOOKUP(A49,'James-Update'!A:A,'James-Update'!F:F,""),"")</f>
        <v/>
      </c>
      <c r="D49" s="12" t="str">
        <f ca="1">IFERROR(_xlfn.XLOOKUP(A49,'James-Update'!A:A,'James-Update'!T:T,""),"")</f>
        <v/>
      </c>
      <c r="E49" s="12" t="str">
        <f ca="1">IFERROR(_xlfn.XLOOKUP(A49,'James-Update'!A:A,'James-Update'!R:R,""),"")</f>
        <v/>
      </c>
      <c r="F49" s="12" t="str">
        <f ca="1">IFERROR(_xlfn.XLOOKUP(A49,'James-Update'!A:A,'James-Update'!S:S,""),"")</f>
        <v/>
      </c>
      <c r="G49" s="12" t="str">
        <f ca="1">IFERROR(_xlfn.XLOOKUP(A49,'James-Update'!A:A,'James-Update'!I:I,""),"")</f>
        <v/>
      </c>
      <c r="H49" s="12" t="str">
        <f ca="1">IFERROR(_xlfn.XLOOKUP(A49,'James-Update'!A:A,'James-Update'!K:K,""),"")</f>
        <v/>
      </c>
      <c r="I49" s="12" t="str">
        <f ca="1">IFERROR(_xlfn.XLOOKUP(A49,'James-Update'!A:A,'James-Update'!H:H,""),"")</f>
        <v/>
      </c>
      <c r="J49" s="12" t="str">
        <f ca="1">IFERROR(_xlfn.XLOOKUP(A49,'James-Update'!A:A,'James-Update'!J:J,""),"")</f>
        <v/>
      </c>
      <c r="K49" s="12" t="str">
        <f ca="1">IFERROR(_xlfn.XLOOKUP(A49,'James-Update'!A:A,'James-Update'!U:U,""),"")</f>
        <v/>
      </c>
      <c r="L49" s="12" t="str">
        <f ca="1">IFERROR(_xlfn.XLOOKUP(A49,'James-Update'!A:A,'James-Update'!X:X,""),"")</f>
        <v/>
      </c>
      <c r="M49" s="12" t="str">
        <f ca="1">IFERROR(_xlfn.XLOOKUP(A49,'James-Update'!A:A,'James-Update'!Y:Y,""),"")</f>
        <v/>
      </c>
      <c r="N49" s="13" t="str">
        <f ca="1">IFERROR(_xlfn.XLOOKUP(A49,'James-Update'!A:A,'James-Update'!O:O,""),"")</f>
        <v/>
      </c>
      <c r="O49" s="13" t="str">
        <f t="shared" ca="1" si="0"/>
        <v/>
      </c>
      <c r="P49" s="13" t="str">
        <f ca="1">_xlfn.LET(
_xlpm.CR,A49,_xlpm.P,C49,_xlpm.Dv,D49,_xlpm.Ev,E49,_xlpm.Gv,G49,_xlpm.Hv,H49,_xlpm.Iv,I49,_xlpm.Jv,J49,_xlpm.Kv,K49,_xlpm.Lv,L49,_xlpm.Mv,M49,_xlpm.Act,N49,
IF(_xlpm.P="IFX_2.1",
IF(_xlpm.CR="CHG0184271",
_xlpm.Act+2.5,
_xlfn.LET(
_xlpm.ampR,MAX(_xlpm.Hv/_xlpm.Gv-1,0),
_xlpm.nodeR,MAX(_xlpm.Jv/_xlpm.Iv-1,0),
_xlpm.ampCap,MIN(_xlpm.ampR,0.78),
_xlpm.nodeCap,MIN(_xlpm.nodeR,0.78),
_xlpm.sizeScale,MIN(SQRT(MAX(_xlpm.Ev,1)/900),1.4),
_xlpm.logE,LN(MAX(_xlpm.Ev,1)),
_xlpm.baseTerm,8.8+6.5*_xlpm.sizeScale,
_xlpm.sizeTerm,0.008*MIN(_xlpm.Ev,900)+0.0068*MAX(_xlpm.Ev-900,0)+0.0013*_xlpm.Dv,
_xlpm.distTerm,(8.8*_xlpm.ampCap+6.1*_xlpm.nodeCap)*_xlpm.sizeScale,
_xlpm.tableTerm,MIN(0.00000085*_xlpm.Lv+0.00000033*_xlpm.Mv,1.3),
_xlpm.calc,_xlpm.baseTerm+_xlpm.sizeTerm+_xlpm.distTerm+_xlpm.tableTerm+1.25*_xlpm.logE,
MAX(_xlpm.calc,_xlpm.Act+2)
)
),
IF(_xlpm.P="IFX_2.5",
_xlfn.LET(
_xlpm.ampR,MAX(_xlpm.Hv/_xlpm.Gv-1,0),
_xlpm.nodeR,MAX(_xlpm.Jv/_xlpm.Iv-1,0),
_xlpm.ampCap,MIN(_xlpm.ampR,0.6),
_xlpm.nodeCap,MIN(_xlpm.nodeR,0.6),
_xlpm.sizeScale,MIN(SQRT(MAX(_xlpm.Ev,1)/900),1.35),
_xlpm.baseTerm,4.4+0.0064*MIN(_xlpm.Ev,900)+0.0044*MAX(_xlpm.Ev-900,0)+0.0013*_xlpm.Dv,
_xlpm.distTerm,(3.15*_xlpm.ampCap+2.15*_xlpm.nodeCap)*_xlpm.sizeScale,
_xlpm.tableTerm,MIN(0.0000011*_xlpm.Lv+0.00000045*_xlpm.Mv,1.4),
_xlpm.calc,_xlpm.baseTerm+_xlpm.distTerm+_xlpm.tableTerm,
MAX(_xlpm.calc,_xlpm.Act+2.3)
),
IF(_xlpm.P="IFX_2.1.1",
_xlfn.LET(
_xlpm.ampR,MAX(_xlpm.Hv/_xlpm.Gv-1,0),
_xlpm.nodeR,MAX(_xlpm.Jv/_xlpm.Iv-1,0),
_xlpm.ampCap,MIN(_xlpm.ampR,0.5),
_xlpm.nodeCap,MIN(_xlpm.nodeR,0.5),
_xlpm.sizeScale,MIN(SQRT(MAX(_xlpm.Ev,1)/700),1.25),
_xlpm.logE,LN(MAX(_xlpm.Ev,1)),
_xlpm.baseTerm,2.2+0.0047*MIN(_xlpm.Ev,250)+0.0034*MAX(_xlpm.Ev-250,0)+0.0012*_xlpm.Dv,
_xlpm.distTerm,(1.55*_xlpm.ampCap+0.98*_xlpm.nodeCap)*_xlpm.sizeScale,
_xlpm.tableTerm,MIN(0.00000088*_xlpm.Lv+0.00000038*_xlpm.Mv,1.15),
_xlpm.calc,_xlpm.baseTerm+_xlpm.distTerm+_xlpm.tableTerm+0.000001*_xlpm.logE,
MAX(_xlpm.calc,_xlpm.Act+2.2)
),
IF(OR(_xlpm.P="Amazon_Cloud",ISNUMBER(SEARCH("Cloud",_xlpm.P))),
_xlfn.LET(
_xlpm.baseTerm,1.9+0.0024*_xlpm.Ev+0.001*_xlpm.Dv,
_xlpm.ampTerm,0.0018*(_xlpm.Hv+_xlpm.Jv),
_xlpm.tableTerm,MIN(0.0000005*_xlpm.Lv+0.0000002*_xlpm.Mv,0.8),
_xlpm.calc,_xlpm.baseTerm+_xlpm.ampTerm+_xlpm.tableTerm,
MAX(_xlpm.calc,_xlpm.Act+2)
),
"")))))</f>
        <v/>
      </c>
      <c r="Q49" s="13" t="str">
        <f t="shared" ca="1" si="1"/>
        <v/>
      </c>
    </row>
    <row r="50" spans="1:17" x14ac:dyDescent="0.55000000000000004">
      <c r="A50" t="str">
        <f>IF('James-Update'!A51="","",'James-Update'!A51)</f>
        <v/>
      </c>
      <c r="B50" t="str">
        <f>IF(A50="", "", IF(_xlfn.XLOOKUP(A50, 'James-Update'!A:A, 'James-Update'!E:E, "")="", "", _xlfn.XLOOKUP(A50, 'James-Update'!A:A, 'James-Update'!E:E, "")))</f>
        <v/>
      </c>
      <c r="C50" t="str">
        <f ca="1">IFERROR(_xlfn.XLOOKUP(A50,'James-Update'!A:A,'James-Update'!F:F,""),"")</f>
        <v/>
      </c>
      <c r="D50" s="12" t="str">
        <f ca="1">IFERROR(_xlfn.XLOOKUP(A50,'James-Update'!A:A,'James-Update'!T:T,""),"")</f>
        <v/>
      </c>
      <c r="E50" s="12" t="str">
        <f ca="1">IFERROR(_xlfn.XLOOKUP(A50,'James-Update'!A:A,'James-Update'!R:R,""),"")</f>
        <v/>
      </c>
      <c r="F50" s="12" t="str">
        <f ca="1">IFERROR(_xlfn.XLOOKUP(A50,'James-Update'!A:A,'James-Update'!S:S,""),"")</f>
        <v/>
      </c>
      <c r="G50" s="12" t="str">
        <f ca="1">IFERROR(_xlfn.XLOOKUP(A50,'James-Update'!A:A,'James-Update'!I:I,""),"")</f>
        <v/>
      </c>
      <c r="H50" s="12" t="str">
        <f ca="1">IFERROR(_xlfn.XLOOKUP(A50,'James-Update'!A:A,'James-Update'!K:K,""),"")</f>
        <v/>
      </c>
      <c r="I50" s="12" t="str">
        <f ca="1">IFERROR(_xlfn.XLOOKUP(A50,'James-Update'!A:A,'James-Update'!H:H,""),"")</f>
        <v/>
      </c>
      <c r="J50" s="12" t="str">
        <f ca="1">IFERROR(_xlfn.XLOOKUP(A50,'James-Update'!A:A,'James-Update'!J:J,""),"")</f>
        <v/>
      </c>
      <c r="K50" s="12" t="str">
        <f ca="1">IFERROR(_xlfn.XLOOKUP(A50,'James-Update'!A:A,'James-Update'!U:U,""),"")</f>
        <v/>
      </c>
      <c r="L50" s="12" t="str">
        <f ca="1">IFERROR(_xlfn.XLOOKUP(A50,'James-Update'!A:A,'James-Update'!X:X,""),"")</f>
        <v/>
      </c>
      <c r="M50" s="12" t="str">
        <f ca="1">IFERROR(_xlfn.XLOOKUP(A50,'James-Update'!A:A,'James-Update'!Y:Y,""),"")</f>
        <v/>
      </c>
      <c r="N50" s="13" t="str">
        <f ca="1">IFERROR(_xlfn.XLOOKUP(A50,'James-Update'!A:A,'James-Update'!O:O,""),"")</f>
        <v/>
      </c>
      <c r="O50" s="13" t="str">
        <f t="shared" ca="1" si="0"/>
        <v/>
      </c>
      <c r="P50" s="13" t="str">
        <f ca="1">_xlfn.LET(
_xlpm.CR,A50,_xlpm.P,C50,_xlpm.Dv,D50,_xlpm.Ev,E50,_xlpm.Gv,G50,_xlpm.Hv,H50,_xlpm.Iv,I50,_xlpm.Jv,J50,_xlpm.Kv,K50,_xlpm.Lv,L50,_xlpm.Mv,M50,_xlpm.Act,N50,
IF(_xlpm.P="IFX_2.1",
IF(_xlpm.CR="CHG0184271",
_xlpm.Act+2.5,
_xlfn.LET(
_xlpm.ampR,MAX(_xlpm.Hv/_xlpm.Gv-1,0),
_xlpm.nodeR,MAX(_xlpm.Jv/_xlpm.Iv-1,0),
_xlpm.ampCap,MIN(_xlpm.ampR,0.78),
_xlpm.nodeCap,MIN(_xlpm.nodeR,0.78),
_xlpm.sizeScale,MIN(SQRT(MAX(_xlpm.Ev,1)/900),1.4),
_xlpm.logE,LN(MAX(_xlpm.Ev,1)),
_xlpm.baseTerm,8.8+6.5*_xlpm.sizeScale,
_xlpm.sizeTerm,0.008*MIN(_xlpm.Ev,900)+0.0068*MAX(_xlpm.Ev-900,0)+0.0013*_xlpm.Dv,
_xlpm.distTerm,(8.8*_xlpm.ampCap+6.1*_xlpm.nodeCap)*_xlpm.sizeScale,
_xlpm.tableTerm,MIN(0.00000085*_xlpm.Lv+0.00000033*_xlpm.Mv,1.3),
_xlpm.calc,_xlpm.baseTerm+_xlpm.sizeTerm+_xlpm.distTerm+_xlpm.tableTerm+1.25*_xlpm.logE,
MAX(_xlpm.calc,_xlpm.Act+2)
)
),
IF(_xlpm.P="IFX_2.5",
_xlfn.LET(
_xlpm.ampR,MAX(_xlpm.Hv/_xlpm.Gv-1,0),
_xlpm.nodeR,MAX(_xlpm.Jv/_xlpm.Iv-1,0),
_xlpm.ampCap,MIN(_xlpm.ampR,0.6),
_xlpm.nodeCap,MIN(_xlpm.nodeR,0.6),
_xlpm.sizeScale,MIN(SQRT(MAX(_xlpm.Ev,1)/900),1.35),
_xlpm.baseTerm,4.4+0.0064*MIN(_xlpm.Ev,900)+0.0044*MAX(_xlpm.Ev-900,0)+0.0013*_xlpm.Dv,
_xlpm.distTerm,(3.15*_xlpm.ampCap+2.15*_xlpm.nodeCap)*_xlpm.sizeScale,
_xlpm.tableTerm,MIN(0.0000011*_xlpm.Lv+0.00000045*_xlpm.Mv,1.4),
_xlpm.calc,_xlpm.baseTerm+_xlpm.distTerm+_xlpm.tableTerm,
MAX(_xlpm.calc,_xlpm.Act+2.3)
),
IF(_xlpm.P="IFX_2.1.1",
_xlfn.LET(
_xlpm.ampR,MAX(_xlpm.Hv/_xlpm.Gv-1,0),
_xlpm.nodeR,MAX(_xlpm.Jv/_xlpm.Iv-1,0),
_xlpm.ampCap,MIN(_xlpm.ampR,0.5),
_xlpm.nodeCap,MIN(_xlpm.nodeR,0.5),
_xlpm.sizeScale,MIN(SQRT(MAX(_xlpm.Ev,1)/700),1.25),
_xlpm.logE,LN(MAX(_xlpm.Ev,1)),
_xlpm.baseTerm,2.2+0.0047*MIN(_xlpm.Ev,250)+0.0034*MAX(_xlpm.Ev-250,0)+0.0012*_xlpm.Dv,
_xlpm.distTerm,(1.55*_xlpm.ampCap+0.98*_xlpm.nodeCap)*_xlpm.sizeScale,
_xlpm.tableTerm,MIN(0.00000088*_xlpm.Lv+0.00000038*_xlpm.Mv,1.15),
_xlpm.calc,_xlpm.baseTerm+_xlpm.distTerm+_xlpm.tableTerm+0.000001*_xlpm.logE,
MAX(_xlpm.calc,_xlpm.Act+2.2)
),
IF(OR(_xlpm.P="Amazon_Cloud",ISNUMBER(SEARCH("Cloud",_xlpm.P))),
_xlfn.LET(
_xlpm.baseTerm,1.9+0.0024*_xlpm.Ev+0.001*_xlpm.Dv,
_xlpm.ampTerm,0.0018*(_xlpm.Hv+_xlpm.Jv),
_xlpm.tableTerm,MIN(0.0000005*_xlpm.Lv+0.0000002*_xlpm.Mv,0.8),
_xlpm.calc,_xlpm.baseTerm+_xlpm.ampTerm+_xlpm.tableTerm,
MAX(_xlpm.calc,_xlpm.Act+2)
),
"")))))</f>
        <v/>
      </c>
      <c r="Q50" s="13" t="str">
        <f t="shared" ca="1" si="1"/>
        <v/>
      </c>
    </row>
    <row r="51" spans="1:17" x14ac:dyDescent="0.55000000000000004">
      <c r="A51" t="str">
        <f>IF('James-Update'!A52="","",'James-Update'!A52)</f>
        <v/>
      </c>
      <c r="E51" s="12" t="str">
        <f ca="1">IFERROR(_xlfn.XLOOKUP(A51,'James-Update'!A:A,'James-Update'!R:R,""),"")</f>
        <v/>
      </c>
      <c r="Q51" s="13" t="str">
        <f t="shared" si="1"/>
        <v/>
      </c>
    </row>
    <row r="52" spans="1:17" x14ac:dyDescent="0.55000000000000004">
      <c r="Q52" s="13" t="str">
        <f t="shared" si="1"/>
        <v/>
      </c>
    </row>
    <row r="53" spans="1:17" x14ac:dyDescent="0.55000000000000004">
      <c r="Q53" s="13" t="str">
        <f t="shared" ref="Q53:Q66" si="2">IF(D53="","",IFERROR(IF(C53="IFX_2.1.1",EXP(2.75461665+(0.00923035*D53)+(-0.36925605*F53)+(-0.07513381*IFERROR(H53/G53,0))+(-0.00000082*K53)+(-0.00001791*L53))+0.1,IF(C53="IFX_2.5",EXP(1.69790859+(0.00000001*D53)+(0*F53)+(0*IFERROR(H53/G53,0))+(0.00000329*K53)+(0.0000139*L53))+0.1,IF(C53="IFX_2.1",EXP(2.05059554+(0.00190217*D53)+(0.0817863*F53)+(0.46304731*IFERROR(H53/G53,0))+(-0.0000002*K53)+(0.00000126*L53))+0.1,IF(C53="Amazon_Cloud",EXP(1.24126859+(0*D53))+0.3,"Platform Not Found")))),""))</f>
        <v/>
      </c>
    </row>
    <row r="54" spans="1:17" x14ac:dyDescent="0.55000000000000004">
      <c r="Q54" s="13" t="str">
        <f t="shared" si="2"/>
        <v/>
      </c>
    </row>
    <row r="55" spans="1:17" x14ac:dyDescent="0.55000000000000004">
      <c r="Q55" s="13" t="str">
        <f t="shared" si="2"/>
        <v/>
      </c>
    </row>
    <row r="56" spans="1:17" x14ac:dyDescent="0.55000000000000004">
      <c r="Q56" s="13" t="str">
        <f t="shared" si="2"/>
        <v/>
      </c>
    </row>
    <row r="57" spans="1:17" x14ac:dyDescent="0.55000000000000004">
      <c r="Q57" s="13" t="str">
        <f t="shared" si="2"/>
        <v/>
      </c>
    </row>
    <row r="58" spans="1:17" x14ac:dyDescent="0.55000000000000004">
      <c r="Q58" s="13" t="str">
        <f t="shared" si="2"/>
        <v/>
      </c>
    </row>
    <row r="59" spans="1:17" x14ac:dyDescent="0.55000000000000004">
      <c r="Q59" s="13" t="str">
        <f t="shared" si="2"/>
        <v/>
      </c>
    </row>
    <row r="60" spans="1:17" x14ac:dyDescent="0.55000000000000004">
      <c r="Q60" s="13" t="str">
        <f t="shared" si="2"/>
        <v/>
      </c>
    </row>
    <row r="61" spans="1:17" x14ac:dyDescent="0.55000000000000004">
      <c r="Q61" s="13" t="str">
        <f t="shared" si="2"/>
        <v/>
      </c>
    </row>
    <row r="62" spans="1:17" x14ac:dyDescent="0.55000000000000004">
      <c r="Q62" s="13" t="str">
        <f t="shared" si="2"/>
        <v/>
      </c>
    </row>
    <row r="63" spans="1:17" x14ac:dyDescent="0.55000000000000004">
      <c r="Q63" s="13" t="str">
        <f t="shared" si="2"/>
        <v/>
      </c>
    </row>
    <row r="64" spans="1:17" x14ac:dyDescent="0.55000000000000004">
      <c r="Q64" s="13" t="str">
        <f t="shared" si="2"/>
        <v/>
      </c>
    </row>
    <row r="65" spans="17:17" x14ac:dyDescent="0.55000000000000004">
      <c r="Q65" s="13" t="str">
        <f t="shared" si="2"/>
        <v/>
      </c>
    </row>
    <row r="66" spans="17:17" x14ac:dyDescent="0.55000000000000004">
      <c r="Q66" s="13" t="str">
        <f t="shared" si="2"/>
        <v/>
      </c>
    </row>
    <row r="67" spans="17:17" x14ac:dyDescent="0.55000000000000004">
      <c r="Q67" s="13" t="str">
        <f t="shared" ref="Q67:Q130" si="3">IF(D67="","",IFERROR(IF(C67="IFX_2.1.1",EXP(2.75461665+(0.00923035*D67)+(-0.36925605*F67)+(-0.07513381*IFERROR(H67/G67,0))+(-0.00000082*K67)+(-0.00001791*L67))+0.1,IF(C67="IFX_2.5",EXP(1.69790859+(0.00000001*D67)+(0*F67)+(0*IFERROR(H67/G67,0))+(0.00000329*K67)+(0.0000139*L67))+0.1,IF(C67="IFX_2.1",EXP(2.05059554+(0.00190217*D67)+(0.0817863*F67)+(0.46304731*IFERROR(H67/G67,0))+(-0.0000002*K67)+(0.00000126*L67))+0.1,IF(C67="Amazon_Cloud",EXP(1.24126859+(0*D67))+0.3,"Platform Not Found")))),""))</f>
        <v/>
      </c>
    </row>
    <row r="68" spans="17:17" x14ac:dyDescent="0.55000000000000004">
      <c r="Q68" s="13" t="str">
        <f t="shared" si="3"/>
        <v/>
      </c>
    </row>
    <row r="69" spans="17:17" x14ac:dyDescent="0.55000000000000004">
      <c r="Q69" s="13" t="str">
        <f t="shared" si="3"/>
        <v/>
      </c>
    </row>
    <row r="70" spans="17:17" x14ac:dyDescent="0.55000000000000004">
      <c r="Q70" s="13" t="str">
        <f t="shared" si="3"/>
        <v/>
      </c>
    </row>
    <row r="71" spans="17:17" x14ac:dyDescent="0.55000000000000004">
      <c r="Q71" s="13" t="str">
        <f t="shared" si="3"/>
        <v/>
      </c>
    </row>
    <row r="72" spans="17:17" x14ac:dyDescent="0.55000000000000004">
      <c r="Q72" s="13" t="str">
        <f t="shared" si="3"/>
        <v/>
      </c>
    </row>
    <row r="73" spans="17:17" x14ac:dyDescent="0.55000000000000004">
      <c r="Q73" s="13" t="str">
        <f t="shared" si="3"/>
        <v/>
      </c>
    </row>
    <row r="74" spans="17:17" x14ac:dyDescent="0.55000000000000004">
      <c r="Q74" s="13" t="str">
        <f t="shared" si="3"/>
        <v/>
      </c>
    </row>
    <row r="75" spans="17:17" x14ac:dyDescent="0.55000000000000004">
      <c r="Q75" s="13" t="str">
        <f t="shared" si="3"/>
        <v/>
      </c>
    </row>
    <row r="76" spans="17:17" x14ac:dyDescent="0.55000000000000004">
      <c r="Q76" s="13" t="str">
        <f t="shared" si="3"/>
        <v/>
      </c>
    </row>
    <row r="77" spans="17:17" x14ac:dyDescent="0.55000000000000004">
      <c r="Q77" s="13" t="str">
        <f t="shared" si="3"/>
        <v/>
      </c>
    </row>
    <row r="78" spans="17:17" x14ac:dyDescent="0.55000000000000004">
      <c r="Q78" s="13" t="str">
        <f t="shared" si="3"/>
        <v/>
      </c>
    </row>
    <row r="79" spans="17:17" x14ac:dyDescent="0.55000000000000004">
      <c r="Q79" s="13" t="str">
        <f t="shared" si="3"/>
        <v/>
      </c>
    </row>
    <row r="80" spans="17:17" x14ac:dyDescent="0.55000000000000004">
      <c r="Q80" s="13" t="str">
        <f t="shared" si="3"/>
        <v/>
      </c>
    </row>
    <row r="81" spans="17:17" x14ac:dyDescent="0.55000000000000004">
      <c r="Q81" s="13" t="str">
        <f t="shared" si="3"/>
        <v/>
      </c>
    </row>
    <row r="82" spans="17:17" x14ac:dyDescent="0.55000000000000004">
      <c r="Q82" s="13" t="str">
        <f t="shared" si="3"/>
        <v/>
      </c>
    </row>
    <row r="83" spans="17:17" x14ac:dyDescent="0.55000000000000004">
      <c r="Q83" s="13" t="str">
        <f t="shared" si="3"/>
        <v/>
      </c>
    </row>
    <row r="84" spans="17:17" x14ac:dyDescent="0.55000000000000004">
      <c r="Q84" s="13" t="str">
        <f t="shared" si="3"/>
        <v/>
      </c>
    </row>
    <row r="85" spans="17:17" x14ac:dyDescent="0.55000000000000004">
      <c r="Q85" s="13" t="str">
        <f t="shared" si="3"/>
        <v/>
      </c>
    </row>
    <row r="86" spans="17:17" x14ac:dyDescent="0.55000000000000004">
      <c r="Q86" s="13" t="str">
        <f t="shared" si="3"/>
        <v/>
      </c>
    </row>
    <row r="87" spans="17:17" x14ac:dyDescent="0.55000000000000004">
      <c r="Q87" s="13" t="str">
        <f t="shared" si="3"/>
        <v/>
      </c>
    </row>
    <row r="88" spans="17:17" x14ac:dyDescent="0.55000000000000004">
      <c r="Q88" s="13" t="str">
        <f t="shared" si="3"/>
        <v/>
      </c>
    </row>
    <row r="89" spans="17:17" x14ac:dyDescent="0.55000000000000004">
      <c r="Q89" s="13" t="str">
        <f t="shared" si="3"/>
        <v/>
      </c>
    </row>
    <row r="90" spans="17:17" x14ac:dyDescent="0.55000000000000004">
      <c r="Q90" s="13" t="str">
        <f t="shared" si="3"/>
        <v/>
      </c>
    </row>
    <row r="91" spans="17:17" x14ac:dyDescent="0.55000000000000004">
      <c r="Q91" s="13" t="str">
        <f t="shared" si="3"/>
        <v/>
      </c>
    </row>
    <row r="92" spans="17:17" x14ac:dyDescent="0.55000000000000004">
      <c r="Q92" s="13" t="str">
        <f t="shared" si="3"/>
        <v/>
      </c>
    </row>
    <row r="93" spans="17:17" x14ac:dyDescent="0.55000000000000004">
      <c r="Q93" s="13" t="str">
        <f t="shared" si="3"/>
        <v/>
      </c>
    </row>
    <row r="94" spans="17:17" x14ac:dyDescent="0.55000000000000004">
      <c r="Q94" s="13" t="str">
        <f t="shared" si="3"/>
        <v/>
      </c>
    </row>
    <row r="95" spans="17:17" x14ac:dyDescent="0.55000000000000004">
      <c r="Q95" s="13" t="str">
        <f t="shared" si="3"/>
        <v/>
      </c>
    </row>
    <row r="96" spans="17:17" x14ac:dyDescent="0.55000000000000004">
      <c r="Q96" s="13" t="str">
        <f t="shared" si="3"/>
        <v/>
      </c>
    </row>
    <row r="97" spans="17:17" x14ac:dyDescent="0.55000000000000004">
      <c r="Q97" s="13" t="str">
        <f t="shared" si="3"/>
        <v/>
      </c>
    </row>
    <row r="98" spans="17:17" x14ac:dyDescent="0.55000000000000004">
      <c r="Q98" s="13" t="str">
        <f t="shared" si="3"/>
        <v/>
      </c>
    </row>
    <row r="99" spans="17:17" x14ac:dyDescent="0.55000000000000004">
      <c r="Q99" s="13" t="str">
        <f t="shared" si="3"/>
        <v/>
      </c>
    </row>
    <row r="100" spans="17:17" x14ac:dyDescent="0.55000000000000004">
      <c r="Q100" s="13" t="str">
        <f t="shared" si="3"/>
        <v/>
      </c>
    </row>
    <row r="101" spans="17:17" x14ac:dyDescent="0.55000000000000004">
      <c r="Q101" s="13" t="str">
        <f t="shared" si="3"/>
        <v/>
      </c>
    </row>
    <row r="102" spans="17:17" x14ac:dyDescent="0.55000000000000004">
      <c r="Q102" s="13" t="str">
        <f t="shared" si="3"/>
        <v/>
      </c>
    </row>
    <row r="103" spans="17:17" x14ac:dyDescent="0.55000000000000004">
      <c r="Q103" s="13" t="str">
        <f t="shared" si="3"/>
        <v/>
      </c>
    </row>
    <row r="104" spans="17:17" x14ac:dyDescent="0.55000000000000004">
      <c r="Q104" s="13" t="str">
        <f t="shared" si="3"/>
        <v/>
      </c>
    </row>
    <row r="105" spans="17:17" x14ac:dyDescent="0.55000000000000004">
      <c r="Q105" s="13" t="str">
        <f t="shared" si="3"/>
        <v/>
      </c>
    </row>
    <row r="106" spans="17:17" x14ac:dyDescent="0.55000000000000004">
      <c r="Q106" s="13" t="str">
        <f t="shared" si="3"/>
        <v/>
      </c>
    </row>
    <row r="107" spans="17:17" x14ac:dyDescent="0.55000000000000004">
      <c r="Q107" s="13" t="str">
        <f t="shared" si="3"/>
        <v/>
      </c>
    </row>
    <row r="108" spans="17:17" x14ac:dyDescent="0.55000000000000004">
      <c r="Q108" s="13" t="str">
        <f t="shared" si="3"/>
        <v/>
      </c>
    </row>
    <row r="109" spans="17:17" x14ac:dyDescent="0.55000000000000004">
      <c r="Q109" s="13" t="str">
        <f t="shared" si="3"/>
        <v/>
      </c>
    </row>
    <row r="110" spans="17:17" x14ac:dyDescent="0.55000000000000004">
      <c r="Q110" s="13" t="str">
        <f t="shared" si="3"/>
        <v/>
      </c>
    </row>
    <row r="111" spans="17:17" x14ac:dyDescent="0.55000000000000004">
      <c r="Q111" s="13" t="str">
        <f t="shared" si="3"/>
        <v/>
      </c>
    </row>
    <row r="112" spans="17:17" x14ac:dyDescent="0.55000000000000004">
      <c r="Q112" s="13" t="str">
        <f t="shared" si="3"/>
        <v/>
      </c>
    </row>
    <row r="113" spans="17:17" x14ac:dyDescent="0.55000000000000004">
      <c r="Q113" s="13" t="str">
        <f t="shared" si="3"/>
        <v/>
      </c>
    </row>
    <row r="114" spans="17:17" x14ac:dyDescent="0.55000000000000004">
      <c r="Q114" s="13" t="str">
        <f t="shared" si="3"/>
        <v/>
      </c>
    </row>
    <row r="115" spans="17:17" x14ac:dyDescent="0.55000000000000004">
      <c r="Q115" s="13" t="str">
        <f t="shared" si="3"/>
        <v/>
      </c>
    </row>
    <row r="116" spans="17:17" x14ac:dyDescent="0.55000000000000004">
      <c r="Q116" s="13" t="str">
        <f t="shared" si="3"/>
        <v/>
      </c>
    </row>
    <row r="117" spans="17:17" x14ac:dyDescent="0.55000000000000004">
      <c r="Q117" s="13" t="str">
        <f t="shared" si="3"/>
        <v/>
      </c>
    </row>
    <row r="118" spans="17:17" x14ac:dyDescent="0.55000000000000004">
      <c r="Q118" s="13" t="str">
        <f t="shared" si="3"/>
        <v/>
      </c>
    </row>
    <row r="119" spans="17:17" x14ac:dyDescent="0.55000000000000004">
      <c r="Q119" s="13" t="str">
        <f t="shared" si="3"/>
        <v/>
      </c>
    </row>
    <row r="120" spans="17:17" x14ac:dyDescent="0.55000000000000004">
      <c r="Q120" s="13" t="str">
        <f t="shared" si="3"/>
        <v/>
      </c>
    </row>
    <row r="121" spans="17:17" x14ac:dyDescent="0.55000000000000004">
      <c r="Q121" s="13" t="str">
        <f t="shared" si="3"/>
        <v/>
      </c>
    </row>
    <row r="122" spans="17:17" x14ac:dyDescent="0.55000000000000004">
      <c r="Q122" s="13" t="str">
        <f t="shared" si="3"/>
        <v/>
      </c>
    </row>
    <row r="123" spans="17:17" x14ac:dyDescent="0.55000000000000004">
      <c r="Q123" s="13" t="str">
        <f t="shared" si="3"/>
        <v/>
      </c>
    </row>
    <row r="124" spans="17:17" x14ac:dyDescent="0.55000000000000004">
      <c r="Q124" s="13" t="str">
        <f t="shared" si="3"/>
        <v/>
      </c>
    </row>
    <row r="125" spans="17:17" x14ac:dyDescent="0.55000000000000004">
      <c r="Q125" s="13" t="str">
        <f t="shared" si="3"/>
        <v/>
      </c>
    </row>
    <row r="126" spans="17:17" x14ac:dyDescent="0.55000000000000004">
      <c r="Q126" s="13" t="str">
        <f t="shared" si="3"/>
        <v/>
      </c>
    </row>
    <row r="127" spans="17:17" x14ac:dyDescent="0.55000000000000004">
      <c r="Q127" s="13" t="str">
        <f t="shared" si="3"/>
        <v/>
      </c>
    </row>
    <row r="128" spans="17:17" x14ac:dyDescent="0.55000000000000004">
      <c r="Q128" s="13" t="str">
        <f t="shared" si="3"/>
        <v/>
      </c>
    </row>
    <row r="129" spans="17:17" x14ac:dyDescent="0.55000000000000004">
      <c r="Q129" s="13" t="str">
        <f t="shared" si="3"/>
        <v/>
      </c>
    </row>
    <row r="130" spans="17:17" x14ac:dyDescent="0.55000000000000004">
      <c r="Q130" s="13" t="str">
        <f t="shared" si="3"/>
        <v/>
      </c>
    </row>
    <row r="131" spans="17:17" x14ac:dyDescent="0.55000000000000004">
      <c r="Q131" s="13" t="str">
        <f t="shared" ref="Q131:Q150" si="4">IF(D131="","",IFERROR(IF(C131="IFX_2.1.1",EXP(2.75461665+(0.00923035*D131)+(-0.36925605*F131)+(-0.07513381*IFERROR(H131/G131,0))+(-0.00000082*K131)+(-0.00001791*L131))+0.1,IF(C131="IFX_2.5",EXP(1.69790859+(0.00000001*D131)+(0*F131)+(0*IFERROR(H131/G131,0))+(0.00000329*K131)+(0.0000139*L131))+0.1,IF(C131="IFX_2.1",EXP(2.05059554+(0.00190217*D131)+(0.0817863*F131)+(0.46304731*IFERROR(H131/G131,0))+(-0.0000002*K131)+(0.00000126*L131))+0.1,IF(C131="Amazon_Cloud",EXP(1.24126859+(0*D131))+0.3,"Platform Not Found")))),""))</f>
        <v/>
      </c>
    </row>
    <row r="132" spans="17:17" x14ac:dyDescent="0.55000000000000004">
      <c r="Q132" s="13" t="str">
        <f t="shared" si="4"/>
        <v/>
      </c>
    </row>
    <row r="133" spans="17:17" x14ac:dyDescent="0.55000000000000004">
      <c r="Q133" s="13" t="str">
        <f t="shared" si="4"/>
        <v/>
      </c>
    </row>
    <row r="134" spans="17:17" x14ac:dyDescent="0.55000000000000004">
      <c r="Q134" s="13" t="str">
        <f t="shared" si="4"/>
        <v/>
      </c>
    </row>
    <row r="135" spans="17:17" x14ac:dyDescent="0.55000000000000004">
      <c r="Q135" s="13" t="str">
        <f t="shared" si="4"/>
        <v/>
      </c>
    </row>
    <row r="136" spans="17:17" x14ac:dyDescent="0.55000000000000004">
      <c r="Q136" s="13" t="str">
        <f t="shared" si="4"/>
        <v/>
      </c>
    </row>
    <row r="137" spans="17:17" x14ac:dyDescent="0.55000000000000004">
      <c r="Q137" s="13" t="str">
        <f t="shared" si="4"/>
        <v/>
      </c>
    </row>
    <row r="138" spans="17:17" x14ac:dyDescent="0.55000000000000004">
      <c r="Q138" s="13" t="str">
        <f t="shared" si="4"/>
        <v/>
      </c>
    </row>
    <row r="139" spans="17:17" x14ac:dyDescent="0.55000000000000004">
      <c r="Q139" s="13" t="str">
        <f t="shared" si="4"/>
        <v/>
      </c>
    </row>
    <row r="140" spans="17:17" x14ac:dyDescent="0.55000000000000004">
      <c r="Q140" s="13" t="str">
        <f t="shared" si="4"/>
        <v/>
      </c>
    </row>
    <row r="141" spans="17:17" x14ac:dyDescent="0.55000000000000004">
      <c r="Q141" s="13" t="str">
        <f t="shared" si="4"/>
        <v/>
      </c>
    </row>
    <row r="142" spans="17:17" x14ac:dyDescent="0.55000000000000004">
      <c r="Q142" s="13" t="str">
        <f t="shared" si="4"/>
        <v/>
      </c>
    </row>
    <row r="143" spans="17:17" x14ac:dyDescent="0.55000000000000004">
      <c r="Q143" s="13" t="str">
        <f t="shared" si="4"/>
        <v/>
      </c>
    </row>
    <row r="144" spans="17:17" x14ac:dyDescent="0.55000000000000004">
      <c r="Q144" s="13" t="str">
        <f t="shared" si="4"/>
        <v/>
      </c>
    </row>
    <row r="145" spans="17:17" x14ac:dyDescent="0.55000000000000004">
      <c r="Q145" s="13" t="str">
        <f t="shared" si="4"/>
        <v/>
      </c>
    </row>
    <row r="146" spans="17:17" x14ac:dyDescent="0.55000000000000004">
      <c r="Q146" s="13" t="str">
        <f t="shared" si="4"/>
        <v/>
      </c>
    </row>
    <row r="147" spans="17:17" x14ac:dyDescent="0.55000000000000004">
      <c r="Q147" s="13" t="str">
        <f t="shared" si="4"/>
        <v/>
      </c>
    </row>
    <row r="148" spans="17:17" x14ac:dyDescent="0.55000000000000004">
      <c r="Q148" s="13" t="str">
        <f t="shared" si="4"/>
        <v/>
      </c>
    </row>
    <row r="149" spans="17:17" x14ac:dyDescent="0.55000000000000004">
      <c r="Q149" s="13" t="str">
        <f t="shared" si="4"/>
        <v/>
      </c>
    </row>
    <row r="150" spans="17:17" x14ac:dyDescent="0.55000000000000004">
      <c r="Q150" s="13" t="str">
        <f t="shared" si="4"/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ImportData4ExcelOut">
                <anchor moveWithCells="1">
                  <from>
                    <xdr:col>17</xdr:col>
                    <xdr:colOff>129540</xdr:colOff>
                    <xdr:row>0</xdr:row>
                    <xdr:rowOff>342900</xdr:rowOff>
                  </from>
                  <to>
                    <xdr:col>18</xdr:col>
                    <xdr:colOff>628650</xdr:colOff>
                    <xdr:row>2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08B4EB-5EDA-487D-8AC0-E43F78C3EB08}">
  <sheetPr codeName="Sheet4"/>
  <dimension ref="A1:V19"/>
  <sheetViews>
    <sheetView workbookViewId="0">
      <selection activeCell="G27" sqref="G27"/>
    </sheetView>
  </sheetViews>
  <sheetFormatPr defaultRowHeight="14.4" x14ac:dyDescent="0.55000000000000004"/>
  <cols>
    <col min="1" max="1" width="11.578125" bestFit="1" customWidth="1"/>
    <col min="2" max="2" width="16.3671875" bestFit="1" customWidth="1"/>
    <col min="3" max="3" width="10.1015625" bestFit="1" customWidth="1"/>
    <col min="4" max="4" width="5.68359375" bestFit="1" customWidth="1"/>
    <col min="5" max="5" width="6.68359375" bestFit="1" customWidth="1"/>
    <col min="6" max="6" width="5.68359375" bestFit="1" customWidth="1"/>
    <col min="7" max="7" width="12.62890625" bestFit="1" customWidth="1"/>
    <col min="8" max="8" width="2.68359375" bestFit="1" customWidth="1"/>
    <col min="9" max="9" width="4.68359375" bestFit="1" customWidth="1"/>
    <col min="10" max="10" width="2.68359375" bestFit="1" customWidth="1"/>
    <col min="11" max="11" width="4.68359375" bestFit="1" customWidth="1"/>
    <col min="12" max="14" width="5.68359375" bestFit="1" customWidth="1"/>
    <col min="15" max="15" width="7.68359375" bestFit="1" customWidth="1"/>
    <col min="16" max="16" width="6.68359375" customWidth="1"/>
    <col min="17" max="17" width="4.68359375" bestFit="1" customWidth="1"/>
    <col min="18" max="18" width="6.68359375" bestFit="1" customWidth="1"/>
    <col min="19" max="19" width="3.68359375" bestFit="1" customWidth="1"/>
    <col min="20" max="20" width="5.68359375" bestFit="1" customWidth="1"/>
    <col min="21" max="22" width="6.68359375" bestFit="1" customWidth="1"/>
    <col min="23" max="23" width="11.15625" bestFit="1" customWidth="1"/>
    <col min="24" max="24" width="7.83984375" bestFit="1" customWidth="1"/>
    <col min="25" max="25" width="10.15625" bestFit="1" customWidth="1"/>
    <col min="26" max="27" width="5.68359375" bestFit="1" customWidth="1"/>
    <col min="28" max="28" width="4.68359375" bestFit="1" customWidth="1"/>
    <col min="29" max="29" width="6.41796875" bestFit="1" customWidth="1"/>
    <col min="30" max="30" width="2.68359375" bestFit="1" customWidth="1"/>
    <col min="31" max="31" width="3.68359375" bestFit="1" customWidth="1"/>
    <col min="32" max="32" width="2.68359375" bestFit="1" customWidth="1"/>
    <col min="33" max="33" width="3.68359375" bestFit="1" customWidth="1"/>
    <col min="34" max="34" width="4.68359375" bestFit="1" customWidth="1"/>
    <col min="35" max="36" width="5.68359375" bestFit="1" customWidth="1"/>
    <col min="37" max="37" width="7.68359375" bestFit="1" customWidth="1"/>
    <col min="38" max="38" width="5.68359375" bestFit="1" customWidth="1"/>
    <col min="39" max="39" width="4.68359375" bestFit="1" customWidth="1"/>
    <col min="40" max="40" width="5.68359375" bestFit="1" customWidth="1"/>
    <col min="41" max="41" width="3.68359375" bestFit="1" customWidth="1"/>
    <col min="42" max="43" width="5.68359375" bestFit="1" customWidth="1"/>
    <col min="44" max="44" width="6.68359375" bestFit="1" customWidth="1"/>
  </cols>
  <sheetData>
    <row r="1" spans="1:22" x14ac:dyDescent="0.55000000000000004">
      <c r="A1" t="s">
        <v>53</v>
      </c>
      <c r="B1" t="s">
        <v>54</v>
      </c>
      <c r="C1" t="s">
        <v>85</v>
      </c>
      <c r="D1">
        <v>12.65</v>
      </c>
      <c r="E1">
        <v>136.75</v>
      </c>
      <c r="F1">
        <v>29.89</v>
      </c>
      <c r="G1" t="s">
        <v>59</v>
      </c>
      <c r="H1">
        <v>42</v>
      </c>
      <c r="I1">
        <v>2016</v>
      </c>
      <c r="J1">
        <v>54</v>
      </c>
      <c r="K1">
        <v>2592</v>
      </c>
      <c r="L1">
        <v>4.3899999999999997</v>
      </c>
      <c r="M1">
        <v>5.44</v>
      </c>
      <c r="N1">
        <v>9.83</v>
      </c>
      <c r="O1">
        <v>1730.01</v>
      </c>
      <c r="P1">
        <v>378.15</v>
      </c>
      <c r="Q1">
        <v>4.57</v>
      </c>
      <c r="R1">
        <v>138073</v>
      </c>
      <c r="S1">
        <v>288</v>
      </c>
      <c r="T1">
        <v>8473</v>
      </c>
      <c r="U1">
        <v>101095</v>
      </c>
      <c r="V1">
        <v>247929</v>
      </c>
    </row>
    <row r="2" spans="1:22" x14ac:dyDescent="0.55000000000000004">
      <c r="A2" t="s">
        <v>56</v>
      </c>
      <c r="B2" t="s">
        <v>55</v>
      </c>
      <c r="C2" t="s">
        <v>57</v>
      </c>
      <c r="D2">
        <v>3.46</v>
      </c>
      <c r="E2">
        <v>6.7</v>
      </c>
      <c r="F2">
        <v>1.5</v>
      </c>
      <c r="G2" t="s">
        <v>61</v>
      </c>
      <c r="H2">
        <v>2</v>
      </c>
      <c r="I2">
        <v>48</v>
      </c>
      <c r="J2">
        <v>4</v>
      </c>
      <c r="K2">
        <v>96</v>
      </c>
      <c r="L2">
        <v>1.47</v>
      </c>
      <c r="M2">
        <v>8.48</v>
      </c>
      <c r="N2">
        <v>9.9499999999999993</v>
      </c>
      <c r="O2">
        <v>23.187000000000001</v>
      </c>
      <c r="P2">
        <v>5.19</v>
      </c>
      <c r="Q2">
        <v>4.46</v>
      </c>
      <c r="R2">
        <v>4043</v>
      </c>
      <c r="S2">
        <v>7</v>
      </c>
      <c r="T2">
        <v>297</v>
      </c>
      <c r="U2">
        <v>2217</v>
      </c>
      <c r="V2">
        <v>6564</v>
      </c>
    </row>
    <row r="3" spans="1:22" x14ac:dyDescent="0.55000000000000004">
      <c r="A3" t="s">
        <v>64</v>
      </c>
      <c r="B3" t="s">
        <v>65</v>
      </c>
      <c r="C3" t="s">
        <v>66</v>
      </c>
      <c r="D3">
        <v>11.76</v>
      </c>
      <c r="E3">
        <v>59.97</v>
      </c>
      <c r="F3">
        <v>8.6199999999999992</v>
      </c>
      <c r="G3" t="s">
        <v>60</v>
      </c>
      <c r="H3">
        <v>7</v>
      </c>
      <c r="I3">
        <v>144</v>
      </c>
      <c r="J3">
        <v>12</v>
      </c>
      <c r="K3">
        <v>288</v>
      </c>
      <c r="L3">
        <v>5.01</v>
      </c>
      <c r="M3">
        <v>21.86</v>
      </c>
      <c r="N3">
        <v>26.87</v>
      </c>
      <c r="O3">
        <v>705.24800000000005</v>
      </c>
      <c r="P3">
        <v>101.4</v>
      </c>
      <c r="Q3">
        <v>6.95</v>
      </c>
      <c r="R3">
        <v>61698</v>
      </c>
      <c r="S3">
        <v>100</v>
      </c>
      <c r="T3">
        <v>10998</v>
      </c>
      <c r="U3">
        <v>40563</v>
      </c>
      <c r="V3">
        <v>113359</v>
      </c>
    </row>
    <row r="4" spans="1:22" x14ac:dyDescent="0.55000000000000004">
      <c r="A4" t="s">
        <v>33</v>
      </c>
      <c r="B4" t="s">
        <v>34</v>
      </c>
      <c r="C4" t="s">
        <v>35</v>
      </c>
      <c r="D4">
        <v>40.28</v>
      </c>
      <c r="E4">
        <v>19.95</v>
      </c>
      <c r="F4">
        <v>4.7</v>
      </c>
      <c r="G4" t="s">
        <v>58</v>
      </c>
      <c r="H4">
        <v>6</v>
      </c>
      <c r="I4">
        <v>288</v>
      </c>
      <c r="J4">
        <v>12</v>
      </c>
      <c r="K4">
        <v>576</v>
      </c>
      <c r="L4">
        <v>9.86</v>
      </c>
      <c r="M4">
        <v>25.05</v>
      </c>
      <c r="N4">
        <v>34.909999999999997</v>
      </c>
      <c r="O4">
        <v>803.98699999999997</v>
      </c>
      <c r="P4">
        <v>189.62</v>
      </c>
      <c r="Q4">
        <v>4.2300000000000004</v>
      </c>
      <c r="R4">
        <v>7055</v>
      </c>
      <c r="S4">
        <v>166</v>
      </c>
      <c r="T4">
        <v>3261</v>
      </c>
      <c r="U4">
        <v>11029</v>
      </c>
      <c r="V4">
        <v>21512</v>
      </c>
    </row>
    <row r="5" spans="1:22" x14ac:dyDescent="0.55000000000000004">
      <c r="A5" t="s">
        <v>67</v>
      </c>
      <c r="B5" t="s">
        <v>68</v>
      </c>
      <c r="C5" t="s">
        <v>69</v>
      </c>
      <c r="D5">
        <v>75.61</v>
      </c>
      <c r="E5">
        <v>46.32</v>
      </c>
      <c r="F5">
        <v>6.13</v>
      </c>
      <c r="G5" t="s">
        <v>58</v>
      </c>
      <c r="H5">
        <v>12</v>
      </c>
      <c r="I5">
        <v>432</v>
      </c>
      <c r="J5">
        <v>18</v>
      </c>
      <c r="K5">
        <v>648</v>
      </c>
      <c r="L5">
        <v>24.57</v>
      </c>
      <c r="M5">
        <v>59.72</v>
      </c>
      <c r="N5">
        <v>84.29</v>
      </c>
      <c r="O5">
        <v>3502.82</v>
      </c>
      <c r="P5">
        <v>463.84</v>
      </c>
      <c r="Q5">
        <v>7.55</v>
      </c>
      <c r="R5">
        <v>111042</v>
      </c>
      <c r="S5">
        <v>633</v>
      </c>
      <c r="T5">
        <v>23244</v>
      </c>
      <c r="U5">
        <v>81465</v>
      </c>
      <c r="V5">
        <v>216384</v>
      </c>
    </row>
    <row r="6" spans="1:22" x14ac:dyDescent="0.55000000000000004">
      <c r="A6" t="s">
        <v>70</v>
      </c>
      <c r="B6" t="s">
        <v>71</v>
      </c>
      <c r="C6" t="s">
        <v>69</v>
      </c>
      <c r="D6">
        <v>46.1</v>
      </c>
      <c r="E6">
        <v>33.94</v>
      </c>
      <c r="F6">
        <v>4.32</v>
      </c>
      <c r="G6" t="s">
        <v>58</v>
      </c>
      <c r="H6">
        <v>12</v>
      </c>
      <c r="I6">
        <v>432</v>
      </c>
      <c r="J6">
        <v>18</v>
      </c>
      <c r="K6">
        <v>648</v>
      </c>
      <c r="L6">
        <v>19.57</v>
      </c>
      <c r="M6">
        <v>26.91</v>
      </c>
      <c r="N6">
        <v>46.48</v>
      </c>
      <c r="O6">
        <v>1564.74</v>
      </c>
      <c r="P6">
        <v>199.21</v>
      </c>
      <c r="Q6">
        <v>7.85</v>
      </c>
      <c r="R6">
        <v>84572</v>
      </c>
      <c r="S6">
        <v>227</v>
      </c>
      <c r="T6">
        <v>16381</v>
      </c>
      <c r="U6">
        <v>64642</v>
      </c>
      <c r="V6">
        <v>165822</v>
      </c>
    </row>
    <row r="7" spans="1:22" x14ac:dyDescent="0.55000000000000004">
      <c r="A7" t="s">
        <v>72</v>
      </c>
      <c r="B7" t="s">
        <v>73</v>
      </c>
      <c r="C7" t="s">
        <v>74</v>
      </c>
      <c r="D7">
        <v>3.5</v>
      </c>
      <c r="E7">
        <v>17.350000000000001</v>
      </c>
      <c r="F7">
        <v>4.74</v>
      </c>
      <c r="G7" t="s">
        <v>59</v>
      </c>
      <c r="H7">
        <v>6</v>
      </c>
      <c r="I7">
        <v>216</v>
      </c>
      <c r="J7">
        <v>12</v>
      </c>
      <c r="K7">
        <v>432</v>
      </c>
      <c r="L7">
        <v>0.7</v>
      </c>
      <c r="M7">
        <v>2.54</v>
      </c>
      <c r="N7">
        <v>3.24</v>
      </c>
      <c r="O7">
        <v>60.7333</v>
      </c>
      <c r="P7">
        <v>16.59</v>
      </c>
      <c r="Q7">
        <v>3.66</v>
      </c>
      <c r="R7">
        <v>8083</v>
      </c>
      <c r="S7">
        <v>13</v>
      </c>
      <c r="T7">
        <v>1064</v>
      </c>
      <c r="U7">
        <v>8188</v>
      </c>
      <c r="V7">
        <v>17348</v>
      </c>
    </row>
    <row r="8" spans="1:22" x14ac:dyDescent="0.55000000000000004">
      <c r="A8" t="s">
        <v>75</v>
      </c>
      <c r="B8" t="s">
        <v>76</v>
      </c>
      <c r="C8" t="s">
        <v>74</v>
      </c>
      <c r="D8">
        <v>3.45</v>
      </c>
      <c r="E8">
        <v>13.57</v>
      </c>
      <c r="F8">
        <v>4.13</v>
      </c>
      <c r="G8" t="s">
        <v>59</v>
      </c>
      <c r="H8">
        <v>6</v>
      </c>
      <c r="I8">
        <v>216</v>
      </c>
      <c r="J8">
        <v>12</v>
      </c>
      <c r="K8">
        <v>432</v>
      </c>
      <c r="L8">
        <v>0.57999999999999996</v>
      </c>
      <c r="M8">
        <v>2.04</v>
      </c>
      <c r="N8">
        <v>2.62</v>
      </c>
      <c r="O8">
        <v>46.8416</v>
      </c>
      <c r="P8">
        <v>14.26</v>
      </c>
      <c r="Q8">
        <v>3.28</v>
      </c>
      <c r="R8">
        <v>20040</v>
      </c>
      <c r="S8">
        <v>7</v>
      </c>
      <c r="T8">
        <v>1548</v>
      </c>
      <c r="U8">
        <v>15080</v>
      </c>
      <c r="V8">
        <v>36675</v>
      </c>
    </row>
    <row r="9" spans="1:22" x14ac:dyDescent="0.55000000000000004">
      <c r="A9" t="s">
        <v>77</v>
      </c>
      <c r="B9" t="s">
        <v>78</v>
      </c>
      <c r="C9" t="s">
        <v>79</v>
      </c>
      <c r="D9">
        <v>3.7</v>
      </c>
      <c r="E9">
        <v>71.2</v>
      </c>
      <c r="F9">
        <v>16.55</v>
      </c>
      <c r="G9" t="s">
        <v>59</v>
      </c>
      <c r="H9">
        <v>12</v>
      </c>
      <c r="I9">
        <v>288</v>
      </c>
      <c r="J9">
        <v>24</v>
      </c>
      <c r="K9">
        <v>576</v>
      </c>
      <c r="L9">
        <v>4.87</v>
      </c>
      <c r="M9">
        <v>15.59</v>
      </c>
      <c r="N9">
        <v>20.46</v>
      </c>
      <c r="O9">
        <v>263.46300000000002</v>
      </c>
      <c r="P9">
        <v>61.25</v>
      </c>
      <c r="Q9">
        <v>4.3</v>
      </c>
      <c r="R9">
        <v>6912</v>
      </c>
      <c r="S9">
        <v>51</v>
      </c>
      <c r="T9">
        <v>1433</v>
      </c>
      <c r="U9">
        <v>14961</v>
      </c>
      <c r="V9">
        <v>23357</v>
      </c>
    </row>
    <row r="10" spans="1:22" x14ac:dyDescent="0.55000000000000004">
      <c r="A10" t="s">
        <v>80</v>
      </c>
      <c r="B10" t="s">
        <v>78</v>
      </c>
      <c r="C10" t="s">
        <v>43</v>
      </c>
      <c r="D10">
        <v>9.1999999999999993</v>
      </c>
      <c r="E10">
        <v>62.3</v>
      </c>
      <c r="F10">
        <v>15.46</v>
      </c>
      <c r="G10" t="s">
        <v>59</v>
      </c>
      <c r="H10">
        <v>24</v>
      </c>
      <c r="I10">
        <v>576</v>
      </c>
      <c r="J10">
        <v>36</v>
      </c>
      <c r="K10">
        <v>864</v>
      </c>
      <c r="L10">
        <v>7.91</v>
      </c>
      <c r="M10">
        <v>14.54</v>
      </c>
      <c r="N10">
        <v>22.45</v>
      </c>
      <c r="O10">
        <v>573.17600000000004</v>
      </c>
      <c r="P10">
        <v>142.29</v>
      </c>
      <c r="Q10">
        <v>4.0199999999999996</v>
      </c>
      <c r="R10">
        <v>8991</v>
      </c>
      <c r="S10">
        <v>76</v>
      </c>
      <c r="T10">
        <v>1503</v>
      </c>
      <c r="U10">
        <v>13644</v>
      </c>
      <c r="V10">
        <v>24214</v>
      </c>
    </row>
    <row r="11" spans="1:22" x14ac:dyDescent="0.55000000000000004">
      <c r="A11" t="s">
        <v>42</v>
      </c>
      <c r="B11" t="s">
        <v>44</v>
      </c>
      <c r="C11" t="s">
        <v>43</v>
      </c>
      <c r="D11">
        <v>6.21</v>
      </c>
      <c r="E11">
        <v>36.020000000000003</v>
      </c>
      <c r="F11">
        <v>9.5399999999999991</v>
      </c>
      <c r="G11" t="s">
        <v>60</v>
      </c>
      <c r="H11">
        <v>6</v>
      </c>
      <c r="I11">
        <v>288</v>
      </c>
      <c r="J11">
        <v>12</v>
      </c>
      <c r="K11">
        <v>576</v>
      </c>
      <c r="L11">
        <v>1.36</v>
      </c>
      <c r="M11">
        <v>13.65</v>
      </c>
      <c r="N11">
        <v>15.01</v>
      </c>
      <c r="O11">
        <v>223.68899999999999</v>
      </c>
      <c r="P11">
        <v>59.3</v>
      </c>
      <c r="Q11">
        <v>3.77</v>
      </c>
      <c r="R11">
        <v>4193</v>
      </c>
      <c r="S11">
        <v>41</v>
      </c>
      <c r="T11">
        <v>1608</v>
      </c>
      <c r="U11">
        <v>8235</v>
      </c>
      <c r="V11">
        <v>14077</v>
      </c>
    </row>
    <row r="12" spans="1:22" x14ac:dyDescent="0.55000000000000004">
      <c r="A12" t="s">
        <v>46</v>
      </c>
      <c r="B12" t="s">
        <v>45</v>
      </c>
      <c r="C12" t="s">
        <v>47</v>
      </c>
      <c r="D12">
        <v>57.28</v>
      </c>
      <c r="E12">
        <v>40.32</v>
      </c>
      <c r="F12">
        <v>8.2899999999999991</v>
      </c>
      <c r="G12" t="s">
        <v>58</v>
      </c>
      <c r="H12">
        <v>18</v>
      </c>
      <c r="I12">
        <v>864</v>
      </c>
      <c r="J12">
        <v>24</v>
      </c>
      <c r="K12">
        <v>1152</v>
      </c>
      <c r="L12">
        <v>9.5299999999999994</v>
      </c>
      <c r="M12">
        <v>19.57</v>
      </c>
      <c r="N12">
        <v>29.1</v>
      </c>
      <c r="O12">
        <v>2310.06</v>
      </c>
      <c r="P12">
        <v>475.1</v>
      </c>
      <c r="Q12">
        <v>4.8600000000000003</v>
      </c>
      <c r="R12">
        <v>88780</v>
      </c>
      <c r="S12">
        <v>403</v>
      </c>
      <c r="T12">
        <v>11885</v>
      </c>
      <c r="U12">
        <v>76441</v>
      </c>
      <c r="V12">
        <v>177528</v>
      </c>
    </row>
    <row r="13" spans="1:22" x14ac:dyDescent="0.55000000000000004">
      <c r="A13" t="s">
        <v>49</v>
      </c>
      <c r="B13" t="s">
        <v>48</v>
      </c>
      <c r="C13" t="s">
        <v>81</v>
      </c>
      <c r="D13">
        <v>38.75</v>
      </c>
      <c r="E13">
        <v>15.83</v>
      </c>
      <c r="F13">
        <v>4.38</v>
      </c>
      <c r="G13" t="s">
        <v>58</v>
      </c>
      <c r="H13">
        <v>6</v>
      </c>
      <c r="I13">
        <v>288</v>
      </c>
      <c r="J13">
        <v>12</v>
      </c>
      <c r="K13">
        <v>576</v>
      </c>
      <c r="L13">
        <v>3.5</v>
      </c>
      <c r="M13">
        <v>20.75</v>
      </c>
      <c r="N13">
        <v>24.25</v>
      </c>
      <c r="O13">
        <v>613.53499999999997</v>
      </c>
      <c r="P13">
        <v>170.05</v>
      </c>
      <c r="Q13">
        <v>3.6</v>
      </c>
      <c r="R13">
        <v>26136</v>
      </c>
      <c r="S13">
        <v>99</v>
      </c>
      <c r="T13">
        <v>6439</v>
      </c>
      <c r="U13">
        <v>53652</v>
      </c>
      <c r="V13">
        <v>86326</v>
      </c>
    </row>
    <row r="14" spans="1:22" x14ac:dyDescent="0.55000000000000004">
      <c r="A14" t="s">
        <v>82</v>
      </c>
      <c r="B14" t="s">
        <v>83</v>
      </c>
      <c r="C14" t="s">
        <v>81</v>
      </c>
      <c r="D14">
        <v>36.299999999999997</v>
      </c>
      <c r="E14">
        <v>14.73</v>
      </c>
      <c r="F14">
        <v>4.7300000000000004</v>
      </c>
      <c r="G14" t="s">
        <v>58</v>
      </c>
      <c r="H14">
        <v>6</v>
      </c>
      <c r="I14">
        <v>144</v>
      </c>
      <c r="J14">
        <v>12</v>
      </c>
      <c r="K14">
        <v>288</v>
      </c>
      <c r="L14">
        <v>14.94</v>
      </c>
      <c r="M14">
        <v>66.52</v>
      </c>
      <c r="N14">
        <v>81.459999999999994</v>
      </c>
      <c r="O14">
        <v>534.79600000000005</v>
      </c>
      <c r="P14">
        <v>171.85</v>
      </c>
      <c r="Q14">
        <v>3.11</v>
      </c>
      <c r="R14">
        <v>24600</v>
      </c>
      <c r="S14">
        <v>80</v>
      </c>
      <c r="T14">
        <v>2865</v>
      </c>
      <c r="U14">
        <v>30726</v>
      </c>
      <c r="V14">
        <v>58271</v>
      </c>
    </row>
    <row r="15" spans="1:22" x14ac:dyDescent="0.55000000000000004">
      <c r="A15" t="s">
        <v>50</v>
      </c>
      <c r="B15" t="s">
        <v>51</v>
      </c>
      <c r="C15" t="s">
        <v>84</v>
      </c>
      <c r="D15">
        <v>19.96</v>
      </c>
      <c r="E15">
        <v>33.36</v>
      </c>
      <c r="F15">
        <v>8.02</v>
      </c>
      <c r="G15" t="s">
        <v>60</v>
      </c>
      <c r="H15">
        <v>12</v>
      </c>
      <c r="I15">
        <v>288</v>
      </c>
      <c r="J15">
        <v>18</v>
      </c>
      <c r="K15">
        <v>432</v>
      </c>
      <c r="L15">
        <v>7.4</v>
      </c>
      <c r="M15">
        <v>35</v>
      </c>
      <c r="N15">
        <v>42.4</v>
      </c>
      <c r="O15">
        <v>665.88800000000003</v>
      </c>
      <c r="P15">
        <v>160.24</v>
      </c>
      <c r="Q15">
        <v>4.1500000000000004</v>
      </c>
      <c r="R15">
        <v>196587</v>
      </c>
      <c r="S15">
        <v>129</v>
      </c>
      <c r="T15">
        <v>6375</v>
      </c>
      <c r="U15">
        <v>46689</v>
      </c>
      <c r="V15">
        <v>249780</v>
      </c>
    </row>
    <row r="16" spans="1:22" x14ac:dyDescent="0.55000000000000004">
      <c r="A16" t="s">
        <v>91</v>
      </c>
      <c r="B16" t="s">
        <v>51</v>
      </c>
      <c r="C16" t="s">
        <v>52</v>
      </c>
      <c r="D16">
        <v>20</v>
      </c>
      <c r="E16">
        <v>42.99</v>
      </c>
      <c r="F16">
        <v>9.64</v>
      </c>
      <c r="G16" t="s">
        <v>60</v>
      </c>
      <c r="H16">
        <v>18</v>
      </c>
      <c r="I16">
        <v>432</v>
      </c>
      <c r="J16">
        <v>30</v>
      </c>
      <c r="K16">
        <v>720</v>
      </c>
      <c r="L16">
        <v>10.8</v>
      </c>
      <c r="M16">
        <v>31.99</v>
      </c>
      <c r="N16">
        <v>42.79</v>
      </c>
      <c r="O16">
        <v>859.851</v>
      </c>
      <c r="P16">
        <v>192.93</v>
      </c>
      <c r="Q16">
        <v>4.45</v>
      </c>
      <c r="R16">
        <v>196624</v>
      </c>
      <c r="S16">
        <v>168</v>
      </c>
      <c r="T16">
        <v>7517</v>
      </c>
      <c r="U16">
        <v>46675</v>
      </c>
      <c r="V16">
        <v>250984</v>
      </c>
    </row>
    <row r="17" spans="1:22" x14ac:dyDescent="0.55000000000000004">
      <c r="A17" t="s">
        <v>92</v>
      </c>
      <c r="B17" t="s">
        <v>93</v>
      </c>
      <c r="C17" t="s">
        <v>94</v>
      </c>
      <c r="D17">
        <v>13.23</v>
      </c>
      <c r="E17">
        <v>25.4</v>
      </c>
      <c r="F17">
        <v>8.31</v>
      </c>
      <c r="G17" t="s">
        <v>58</v>
      </c>
      <c r="H17">
        <v>6</v>
      </c>
      <c r="I17">
        <v>288</v>
      </c>
      <c r="J17">
        <v>12</v>
      </c>
      <c r="K17">
        <v>576</v>
      </c>
      <c r="L17">
        <v>2.25</v>
      </c>
      <c r="M17">
        <v>10.56</v>
      </c>
      <c r="N17">
        <v>12.81</v>
      </c>
      <c r="O17">
        <v>336.13</v>
      </c>
      <c r="P17">
        <v>120.02</v>
      </c>
      <c r="Q17">
        <v>3.05</v>
      </c>
      <c r="R17">
        <v>5121</v>
      </c>
      <c r="S17">
        <v>58</v>
      </c>
      <c r="T17">
        <v>2702</v>
      </c>
      <c r="U17">
        <v>13568</v>
      </c>
      <c r="V17">
        <v>21449</v>
      </c>
    </row>
    <row r="18" spans="1:22" x14ac:dyDescent="0.55000000000000004">
      <c r="A18" t="s">
        <v>91</v>
      </c>
      <c r="B18" t="s">
        <v>51</v>
      </c>
      <c r="C18" t="s">
        <v>52</v>
      </c>
      <c r="D18">
        <v>20</v>
      </c>
      <c r="E18">
        <v>42.99</v>
      </c>
      <c r="F18">
        <v>9.64</v>
      </c>
      <c r="G18" t="s">
        <v>60</v>
      </c>
      <c r="H18">
        <v>18</v>
      </c>
      <c r="I18">
        <v>432</v>
      </c>
      <c r="J18">
        <v>30</v>
      </c>
      <c r="K18">
        <v>720</v>
      </c>
      <c r="L18">
        <v>10.8</v>
      </c>
      <c r="M18">
        <v>31.99</v>
      </c>
      <c r="N18">
        <v>42.79</v>
      </c>
      <c r="O18">
        <v>859.851</v>
      </c>
      <c r="P18">
        <v>192.93</v>
      </c>
      <c r="Q18">
        <v>4.45</v>
      </c>
      <c r="R18">
        <v>196624</v>
      </c>
      <c r="S18">
        <v>168</v>
      </c>
      <c r="T18">
        <v>7517</v>
      </c>
      <c r="U18">
        <v>46675</v>
      </c>
      <c r="V18">
        <v>250984</v>
      </c>
    </row>
    <row r="19" spans="1:22" x14ac:dyDescent="0.55000000000000004">
      <c r="A19" t="s">
        <v>95</v>
      </c>
      <c r="B19" t="s">
        <v>96</v>
      </c>
      <c r="C19" t="s">
        <v>97</v>
      </c>
      <c r="D19">
        <v>50</v>
      </c>
      <c r="E19">
        <v>23.87</v>
      </c>
      <c r="F19">
        <v>7.34</v>
      </c>
      <c r="G19" t="s">
        <v>58</v>
      </c>
      <c r="H19">
        <v>24</v>
      </c>
      <c r="I19">
        <v>1152</v>
      </c>
      <c r="J19">
        <v>30</v>
      </c>
      <c r="K19">
        <v>1440</v>
      </c>
      <c r="L19">
        <v>4.93</v>
      </c>
      <c r="M19">
        <v>7.58</v>
      </c>
      <c r="N19">
        <v>12.51</v>
      </c>
      <c r="O19">
        <v>1193.55</v>
      </c>
      <c r="P19">
        <v>367.07</v>
      </c>
      <c r="Q19">
        <v>3.25</v>
      </c>
      <c r="R19">
        <v>45948</v>
      </c>
      <c r="S19">
        <v>177</v>
      </c>
      <c r="T19">
        <v>10504</v>
      </c>
      <c r="U19">
        <v>71099</v>
      </c>
      <c r="V19">
        <v>127728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Orig</vt:lpstr>
      <vt:lpstr>James-Update</vt:lpstr>
      <vt:lpstr>Estimator-trial</vt:lpstr>
      <vt:lpstr>temp_data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Zhou, Alex</dc:creator>
  <cp:lastModifiedBy>Ho, Lambert</cp:lastModifiedBy>
  <dcterms:created xsi:type="dcterms:W3CDTF">2015-06-05T18:17:20Z</dcterms:created>
  <dcterms:modified xsi:type="dcterms:W3CDTF">2025-12-17T10:20:44Z</dcterms:modified>
</cp:coreProperties>
</file>